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self excel\"/>
    </mc:Choice>
  </mc:AlternateContent>
  <xr:revisionPtr revIDLastSave="0" documentId="13_ncr:1_{31E63256-E28B-4AA2-888E-147B253E2909}" xr6:coauthVersionLast="47" xr6:coauthVersionMax="47" xr10:uidLastSave="{00000000-0000-0000-0000-000000000000}"/>
  <bookViews>
    <workbookView xWindow="-108" yWindow="-108" windowWidth="23256" windowHeight="12456" activeTab="4" xr2:uid="{D7680DF1-E008-4AC9-A240-2B6AFDEF96B8}"/>
  </bookViews>
  <sheets>
    <sheet name="Lower-Upper-Proper-Len" sheetId="4" r:id="rId1"/>
    <sheet name="Informations" sheetId="7" r:id="rId2"/>
    <sheet name="Basic Text" sheetId="5" r:id="rId3"/>
    <sheet name="Text Functions" sheetId="1" r:id="rId4"/>
    <sheet name="Advance Level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1" l="1"/>
  <c r="E37" i="1"/>
  <c r="G18" i="8"/>
  <c r="G17" i="8"/>
  <c r="G16" i="8"/>
  <c r="G15" i="8"/>
  <c r="B17" i="8"/>
  <c r="B16" i="8"/>
  <c r="B15" i="8"/>
  <c r="E22" i="1"/>
  <c r="G14" i="8"/>
  <c r="B14" i="8"/>
  <c r="B13" i="8"/>
  <c r="B7" i="8"/>
  <c r="G6" i="8"/>
  <c r="G5" i="8"/>
  <c r="G4" i="8"/>
  <c r="F6" i="8"/>
  <c r="F5" i="8"/>
  <c r="F4" i="8"/>
  <c r="B6" i="8"/>
  <c r="B5" i="8"/>
  <c r="B4" i="8"/>
  <c r="F23" i="1"/>
  <c r="F22" i="1"/>
  <c r="F17" i="1"/>
  <c r="E23" i="1"/>
  <c r="F18" i="1"/>
  <c r="E18" i="1"/>
  <c r="E17" i="1"/>
  <c r="E12" i="1"/>
  <c r="E11" i="1"/>
  <c r="E4" i="1"/>
  <c r="E5" i="1"/>
  <c r="E6" i="1"/>
  <c r="E3" i="1"/>
  <c r="D11" i="5"/>
  <c r="D12" i="5"/>
  <c r="D13" i="5"/>
  <c r="D14" i="5"/>
  <c r="D15" i="5"/>
  <c r="D10" i="5"/>
  <c r="C11" i="5"/>
  <c r="C12" i="5"/>
  <c r="C13" i="5"/>
  <c r="C14" i="5"/>
  <c r="C15" i="5"/>
  <c r="C10" i="5"/>
  <c r="H3" i="7"/>
  <c r="H4" i="7"/>
  <c r="H5" i="7"/>
  <c r="H7" i="7"/>
  <c r="H8" i="7"/>
  <c r="H9" i="7"/>
  <c r="H10" i="7"/>
  <c r="H11" i="7"/>
  <c r="H12" i="7"/>
  <c r="H13" i="7"/>
  <c r="H14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2" i="7"/>
  <c r="F3" i="7"/>
  <c r="F4" i="7"/>
  <c r="F5" i="7"/>
  <c r="F7" i="7"/>
  <c r="F8" i="7"/>
  <c r="F9" i="7"/>
  <c r="F10" i="7"/>
  <c r="F11" i="7"/>
  <c r="F12" i="7"/>
  <c r="F13" i="7"/>
  <c r="F14" i="7"/>
  <c r="F2" i="7"/>
  <c r="E3" i="7"/>
  <c r="E4" i="7"/>
  <c r="E5" i="7"/>
  <c r="E7" i="7"/>
  <c r="E8" i="7"/>
  <c r="E9" i="7"/>
  <c r="E10" i="7"/>
  <c r="E11" i="7"/>
  <c r="E12" i="7"/>
  <c r="E13" i="7"/>
  <c r="E14" i="7"/>
  <c r="E2" i="7"/>
  <c r="D3" i="7"/>
  <c r="D4" i="7"/>
  <c r="D5" i="7"/>
  <c r="D7" i="7"/>
  <c r="D8" i="7"/>
  <c r="D9" i="7"/>
  <c r="D10" i="7"/>
  <c r="D11" i="7"/>
  <c r="D12" i="7"/>
  <c r="D13" i="7"/>
  <c r="D14" i="7"/>
  <c r="D2" i="7"/>
  <c r="C3" i="7"/>
  <c r="C4" i="7"/>
  <c r="C5" i="7"/>
  <c r="C7" i="7"/>
  <c r="C8" i="7"/>
  <c r="C9" i="7"/>
  <c r="C10" i="7"/>
  <c r="C11" i="7"/>
  <c r="C12" i="7"/>
  <c r="C13" i="7"/>
  <c r="C14" i="7"/>
  <c r="C2" i="7"/>
  <c r="B3" i="7"/>
  <c r="B4" i="7"/>
  <c r="B5" i="7"/>
  <c r="B7" i="7"/>
  <c r="B8" i="7"/>
  <c r="B9" i="7"/>
  <c r="B10" i="7"/>
  <c r="B11" i="7"/>
  <c r="B12" i="7"/>
  <c r="B13" i="7"/>
  <c r="B14" i="7"/>
  <c r="B2" i="7"/>
  <c r="M19" i="4"/>
  <c r="M20" i="4"/>
  <c r="M21" i="4"/>
  <c r="M22" i="4"/>
  <c r="M23" i="4"/>
  <c r="M24" i="4"/>
  <c r="M25" i="4"/>
  <c r="M18" i="4"/>
  <c r="L11" i="4"/>
  <c r="L12" i="4"/>
  <c r="L10" i="4"/>
  <c r="L3" i="4"/>
  <c r="L4" i="4"/>
  <c r="L5" i="4"/>
  <c r="L6" i="4"/>
  <c r="L2" i="4"/>
  <c r="K3" i="4"/>
  <c r="K4" i="4"/>
  <c r="K5" i="4"/>
  <c r="K6" i="4"/>
  <c r="K2" i="4"/>
  <c r="J3" i="4"/>
  <c r="J4" i="4"/>
  <c r="J5" i="4"/>
  <c r="J6" i="4"/>
  <c r="J2" i="4"/>
  <c r="I3" i="4"/>
  <c r="I4" i="4"/>
  <c r="I5" i="4"/>
  <c r="I6" i="4"/>
  <c r="I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2" i="4"/>
  <c r="F3" i="5"/>
  <c r="F4" i="5"/>
  <c r="F2" i="5"/>
  <c r="E3" i="5"/>
  <c r="E4" i="5"/>
  <c r="E2" i="5"/>
  <c r="D3" i="5"/>
  <c r="D4" i="5"/>
  <c r="D2" i="5"/>
  <c r="C3" i="5"/>
  <c r="C4" i="5"/>
  <c r="C2" i="5"/>
  <c r="B3" i="5"/>
  <c r="B4" i="5"/>
  <c r="B2" i="5"/>
  <c r="P4" i="7"/>
  <c r="P5" i="7"/>
  <c r="P6" i="7"/>
  <c r="P7" i="7"/>
  <c r="P8" i="7"/>
  <c r="P3" i="7"/>
  <c r="O4" i="7"/>
  <c r="O5" i="7"/>
  <c r="O6" i="7"/>
  <c r="O7" i="7"/>
  <c r="O8" i="7"/>
  <c r="O3" i="7"/>
  <c r="N4" i="7"/>
  <c r="N5" i="7"/>
  <c r="N6" i="7"/>
  <c r="N7" i="7"/>
  <c r="N8" i="7"/>
  <c r="N3" i="7"/>
  <c r="M4" i="7"/>
  <c r="M5" i="7"/>
  <c r="M6" i="7"/>
  <c r="M7" i="7"/>
  <c r="M8" i="7"/>
  <c r="M3" i="7"/>
  <c r="B11" i="1"/>
  <c r="F38" i="1"/>
  <c r="F37" i="1"/>
  <c r="H15" i="8"/>
  <c r="H16" i="8"/>
  <c r="H17" i="8"/>
  <c r="H14" i="8"/>
  <c r="C14" i="8"/>
  <c r="C15" i="8"/>
  <c r="C16" i="8"/>
  <c r="C17" i="8"/>
  <c r="C13" i="8"/>
  <c r="C7" i="8"/>
  <c r="C6" i="8"/>
  <c r="C5" i="8"/>
  <c r="C4" i="8"/>
  <c r="G14" i="5"/>
  <c r="G25" i="7"/>
  <c r="G20" i="7"/>
  <c r="M11" i="7"/>
  <c r="G21" i="7"/>
  <c r="G23" i="7"/>
  <c r="M13" i="7"/>
  <c r="G15" i="5"/>
  <c r="G22" i="7"/>
  <c r="G17" i="5"/>
  <c r="G13" i="5"/>
  <c r="G24" i="7"/>
  <c r="M14" i="7"/>
  <c r="G16" i="5"/>
  <c r="G26" i="7"/>
  <c r="M12" i="7"/>
  <c r="A6" i="7" l="1"/>
  <c r="F6" i="7" l="1"/>
  <c r="H6" i="7"/>
  <c r="D6" i="7"/>
  <c r="E6" i="7"/>
  <c r="B6" i="7"/>
  <c r="C6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<sst xmlns="http://schemas.openxmlformats.org/spreadsheetml/2006/main" count="234" uniqueCount="173">
  <si>
    <t>Replace</t>
  </si>
  <si>
    <t>Input</t>
  </si>
  <si>
    <t>Answer</t>
  </si>
  <si>
    <t>Output</t>
  </si>
  <si>
    <t>Substitute</t>
  </si>
  <si>
    <t>Find</t>
  </si>
  <si>
    <t>Search</t>
  </si>
  <si>
    <t>Right</t>
  </si>
  <si>
    <t>##Money###</t>
  </si>
  <si>
    <t>Money</t>
  </si>
  <si>
    <t>#Ak#shay###</t>
  </si>
  <si>
    <t>Akshay</t>
  </si>
  <si>
    <t>Name</t>
  </si>
  <si>
    <t>Ayaan</t>
  </si>
  <si>
    <t>search or find the space position number</t>
  </si>
  <si>
    <t>Akshay Kumar</t>
  </si>
  <si>
    <t>Ayaan Khan</t>
  </si>
  <si>
    <t>Names</t>
  </si>
  <si>
    <t>Result</t>
  </si>
  <si>
    <t>Upper</t>
  </si>
  <si>
    <t>Lower</t>
  </si>
  <si>
    <t>Proper</t>
  </si>
  <si>
    <t>Len</t>
  </si>
  <si>
    <t>Left</t>
  </si>
  <si>
    <t>Operator</t>
  </si>
  <si>
    <t>Concatenate</t>
  </si>
  <si>
    <t>Sunil ShEtty</t>
  </si>
  <si>
    <t>Sunny DeOl</t>
  </si>
  <si>
    <t>Karan Johar</t>
  </si>
  <si>
    <t>Allu ARJun</t>
  </si>
  <si>
    <t>Imran KHAN</t>
  </si>
  <si>
    <t>Amir Khan</t>
  </si>
  <si>
    <t>SalMAN Khan</t>
  </si>
  <si>
    <t>Mahesh BABU</t>
  </si>
  <si>
    <t>Sudeep Sanjeev</t>
  </si>
  <si>
    <t>NAVEEN Kumar</t>
  </si>
  <si>
    <t>Kiran RAO</t>
  </si>
  <si>
    <t>UDAY Shetty</t>
  </si>
  <si>
    <t>Majnu BHAI</t>
  </si>
  <si>
    <t>Pushpa Raj</t>
  </si>
  <si>
    <t>Mid</t>
  </si>
  <si>
    <t>Naveen Kumar Gowda</t>
  </si>
  <si>
    <t>Akshay kumar</t>
  </si>
  <si>
    <t>Sunil Shetty</t>
  </si>
  <si>
    <t>Sunil shetty</t>
  </si>
  <si>
    <t>Sunny Deol</t>
  </si>
  <si>
    <t>Allu Arjun</t>
  </si>
  <si>
    <t>Imran Khan</t>
  </si>
  <si>
    <t>Imran khan</t>
  </si>
  <si>
    <t>Office Name</t>
  </si>
  <si>
    <t>Area</t>
  </si>
  <si>
    <t>City</t>
  </si>
  <si>
    <t>State</t>
  </si>
  <si>
    <t>Pincode</t>
  </si>
  <si>
    <t>Wipro</t>
  </si>
  <si>
    <t>Sarjapura</t>
  </si>
  <si>
    <t>Bangalore</t>
  </si>
  <si>
    <t>Karnataka</t>
  </si>
  <si>
    <t>Infosys</t>
  </si>
  <si>
    <t>E-City</t>
  </si>
  <si>
    <t>DATA</t>
  </si>
  <si>
    <t>ISTEXT</t>
  </si>
  <si>
    <t>ISNONTEXT</t>
  </si>
  <si>
    <t>ISNUMBER</t>
  </si>
  <si>
    <t>ISEVEN</t>
  </si>
  <si>
    <t>ISODD</t>
  </si>
  <si>
    <t>ISFORMULA</t>
  </si>
  <si>
    <t>ISLOGICAL</t>
  </si>
  <si>
    <t>India</t>
  </si>
  <si>
    <t>Excel</t>
  </si>
  <si>
    <t>Naveen Kumar</t>
  </si>
  <si>
    <t>Trim</t>
  </si>
  <si>
    <t>Subtract</t>
  </si>
  <si>
    <t>First Name</t>
  </si>
  <si>
    <t>Last Name</t>
  </si>
  <si>
    <t>Formula</t>
  </si>
  <si>
    <t>Exact</t>
  </si>
  <si>
    <t>Address</t>
  </si>
  <si>
    <t>Office 365</t>
  </si>
  <si>
    <t>Position level</t>
  </si>
  <si>
    <t>Extra Space</t>
  </si>
  <si>
    <t>Bangalore      South</t>
  </si>
  <si>
    <t xml:space="preserve">  bangalore    west</t>
  </si>
  <si>
    <t xml:space="preserve">      Bangalore north     </t>
  </si>
  <si>
    <t xml:space="preserve">   bangalore       East    </t>
  </si>
  <si>
    <t>Remove Extra space</t>
  </si>
  <si>
    <t>Rept</t>
  </si>
  <si>
    <t>Numbers</t>
  </si>
  <si>
    <t>Add 0</t>
  </si>
  <si>
    <t>Data</t>
  </si>
  <si>
    <t>Repeat times</t>
  </si>
  <si>
    <t>India 2023-001</t>
  </si>
  <si>
    <t>India 2023-002</t>
  </si>
  <si>
    <t>India 2023-003</t>
  </si>
  <si>
    <t>India 2023-004</t>
  </si>
  <si>
    <t>India-2023-001</t>
  </si>
  <si>
    <t>India-2023-002</t>
  </si>
  <si>
    <t>India-2023-003</t>
  </si>
  <si>
    <t>India-2023-004</t>
  </si>
  <si>
    <t>Mid Name</t>
  </si>
  <si>
    <t>1st Space</t>
  </si>
  <si>
    <t>2nd Space</t>
  </si>
  <si>
    <t>Find Space</t>
  </si>
  <si>
    <t>Basic Left</t>
  </si>
  <si>
    <t>Basic formula</t>
  </si>
  <si>
    <t>Starting letter</t>
  </si>
  <si>
    <t>2nd space - 1st space</t>
  </si>
  <si>
    <t>Dynamic Formula</t>
  </si>
  <si>
    <r>
      <t xml:space="preserve">search or find the </t>
    </r>
    <r>
      <rPr>
        <sz val="24"/>
        <color rgb="FFFF0000"/>
        <rFont val="Cambria"/>
        <family val="1"/>
      </rPr>
      <t>a</t>
    </r>
    <r>
      <rPr>
        <sz val="16"/>
        <color theme="1"/>
        <rFont val="Cambria"/>
        <family val="2"/>
      </rPr>
      <t xml:space="preserve"> position number</t>
    </r>
  </si>
  <si>
    <t>Position number</t>
  </si>
  <si>
    <t>Find 2nd space position</t>
  </si>
  <si>
    <t>Find (Case sensitive)</t>
  </si>
  <si>
    <t>Char level (Case sensitive)</t>
  </si>
  <si>
    <t>Position number (Case sensitive)</t>
  </si>
  <si>
    <t>Advance formula</t>
  </si>
  <si>
    <t>search or find the 2nd space position number</t>
  </si>
  <si>
    <t>Full Name with operator</t>
  </si>
  <si>
    <t>Full Name with Formula</t>
  </si>
  <si>
    <t>&amp;</t>
  </si>
  <si>
    <t>Formulas</t>
  </si>
  <si>
    <t>Information</t>
  </si>
  <si>
    <t>Type of Errors</t>
  </si>
  <si>
    <t>IFNA</t>
  </si>
  <si>
    <t>Iferror with 0</t>
  </si>
  <si>
    <t>Iferror with Text</t>
  </si>
  <si>
    <t>Iferror with Blank</t>
  </si>
  <si>
    <t>Z</t>
  </si>
  <si>
    <t>Add zero (0) before the numbers</t>
  </si>
  <si>
    <t>Out put</t>
  </si>
  <si>
    <t>001</t>
  </si>
  <si>
    <t>0002</t>
  </si>
  <si>
    <t>00006</t>
  </si>
  <si>
    <t>00050</t>
  </si>
  <si>
    <t>00000060</t>
  </si>
  <si>
    <t>00080</t>
  </si>
  <si>
    <t>00000100</t>
  </si>
  <si>
    <t>000000500</t>
  </si>
  <si>
    <t>Vamshi Srinivas</t>
  </si>
  <si>
    <t>Pavan Kumar</t>
  </si>
  <si>
    <t>Naveen Kumar Singh</t>
  </si>
  <si>
    <t>Manish Arjun Dutta</t>
  </si>
  <si>
    <t>Uday Sharma</t>
  </si>
  <si>
    <t>Manoj Rao</t>
  </si>
  <si>
    <t>formala</t>
  </si>
  <si>
    <t>ifna</t>
  </si>
  <si>
    <t>iferror with 0</t>
  </si>
  <si>
    <t>iferror with text</t>
  </si>
  <si>
    <t>iferror with blank</t>
  </si>
  <si>
    <t>datatypes in excel</t>
  </si>
  <si>
    <t>numbers</t>
  </si>
  <si>
    <t>number also interger</t>
  </si>
  <si>
    <t>text</t>
  </si>
  <si>
    <t>string</t>
  </si>
  <si>
    <t>Date</t>
  </si>
  <si>
    <t>Date and Time</t>
  </si>
  <si>
    <t>Date and time</t>
  </si>
  <si>
    <t>True/False</t>
  </si>
  <si>
    <t>Boolean</t>
  </si>
  <si>
    <t>formala above  information table</t>
  </si>
  <si>
    <t>istext</t>
  </si>
  <si>
    <t>isnumber</t>
  </si>
  <si>
    <t>isnontext</t>
  </si>
  <si>
    <t>iseven</t>
  </si>
  <si>
    <t>isodd</t>
  </si>
  <si>
    <t>isformala</t>
  </si>
  <si>
    <t>islogical</t>
  </si>
  <si>
    <t>Prabhu Gupta Sheti</t>
  </si>
  <si>
    <t>firstname</t>
  </si>
  <si>
    <t xml:space="preserve">formala description </t>
  </si>
  <si>
    <t>midname</t>
  </si>
  <si>
    <t>lastname</t>
  </si>
  <si>
    <t>full name with operator</t>
  </si>
  <si>
    <t>full name with formala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</si>
</sst>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6"/>
      <color theme="1"/>
      <name val="Cambria"/>
      <family val="2"/>
    </font>
    <font>
      <sz val="15"/>
      <color theme="1"/>
      <name val="Cambria"/>
      <family val="2"/>
    </font>
    <font>
      <sz val="8"/>
      <name val="Cambria"/>
      <family val="2"/>
    </font>
    <font>
      <sz val="16"/>
      <color theme="1"/>
      <name val="Cambria"/>
      <family val="2"/>
    </font>
    <font>
      <sz val="24"/>
      <color rgb="FFFF0000"/>
      <name val="Cambria"/>
      <family val="1"/>
    </font>
    <font>
      <sz val="16"/>
      <color rgb="FFFF0000"/>
      <name val="Cambria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9" fontId="0" fillId="0" borderId="0" xfId="0" applyNumberFormat="1"/>
    <xf numFmtId="0" fontId="0" fillId="0" borderId="1" xfId="0" applyBorder="1" applyAlignment="1">
      <alignment horizontal="center"/>
    </xf>
    <xf numFmtId="0" fontId="0" fillId="3" borderId="1" xfId="0" applyFill="1" applyBorder="1"/>
    <xf numFmtId="9" fontId="0" fillId="0" borderId="0" xfId="1" applyFont="1"/>
    <xf numFmtId="9" fontId="0" fillId="0" borderId="1" xfId="1" applyFont="1" applyBorder="1"/>
    <xf numFmtId="0" fontId="0" fillId="4" borderId="0" xfId="0" applyFill="1"/>
    <xf numFmtId="0" fontId="0" fillId="4" borderId="1" xfId="0" applyFill="1" applyBorder="1"/>
    <xf numFmtId="9" fontId="0" fillId="4" borderId="0" xfId="1" applyFont="1" applyFill="1"/>
    <xf numFmtId="9" fontId="0" fillId="4" borderId="1" xfId="1" applyFont="1" applyFill="1" applyBorder="1"/>
    <xf numFmtId="9" fontId="0" fillId="3" borderId="1" xfId="1" applyFont="1" applyFill="1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5" fillId="0" borderId="1" xfId="0" applyFont="1" applyBorder="1"/>
    <xf numFmtId="0" fontId="0" fillId="0" borderId="2" xfId="0" applyBorder="1"/>
    <xf numFmtId="0" fontId="0" fillId="0" borderId="0" xfId="0" applyAlignment="1">
      <alignment wrapText="1"/>
    </xf>
    <xf numFmtId="0" fontId="0" fillId="4" borderId="1" xfId="0" applyFill="1" applyBorder="1" applyAlignment="1">
      <alignment horizontal="center"/>
    </xf>
    <xf numFmtId="0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213360</xdr:colOff>
      <xdr:row>24</xdr:row>
      <xdr:rowOff>15240</xdr:rowOff>
    </xdr:from>
    <xdr:to>
      <xdr:col>5</xdr:col>
      <xdr:colOff>1116330</xdr:colOff>
      <xdr:row>31</xdr:row>
      <xdr:rowOff>40005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877EAC-43A3-1F84-9F54-2B3299181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0" y="6355080"/>
          <a:ext cx="8134350" cy="1838325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7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340B-AE32-48B8-87BD-560CE8F411D2}">
  <dimension ref="A1:M25"/>
  <sheetViews>
    <sheetView showGridLines="0" topLeftCell="F14" workbookViewId="0">
      <selection activeCell="L28" sqref="L28"/>
    </sheetView>
  </sheetViews>
  <sheetFormatPr defaultRowHeight="20.399999999999999" x14ac:dyDescent="0.35"/>
  <cols>
    <col min="1" max="1" width="13.1328125" bestFit="1" customWidth="1"/>
    <col min="2" max="2" width="14.53125" bestFit="1" customWidth="1"/>
    <col min="3" max="3" width="12.46484375" bestFit="1" customWidth="1"/>
    <col min="4" max="4" width="12.59765625" bestFit="1" customWidth="1"/>
    <col min="8" max="8" width="17.6640625" bestFit="1" customWidth="1"/>
    <col min="9" max="9" width="10.73046875" bestFit="1" customWidth="1"/>
    <col min="10" max="10" width="16.265625" bestFit="1" customWidth="1"/>
    <col min="11" max="11" width="12.3984375" customWidth="1"/>
    <col min="12" max="12" width="16.59765625" customWidth="1"/>
    <col min="13" max="13" width="13" customWidth="1"/>
    <col min="14" max="14" width="20.9296875" bestFit="1" customWidth="1"/>
    <col min="15" max="15" width="22.1328125" bestFit="1" customWidth="1"/>
  </cols>
  <sheetData>
    <row r="1" spans="1:12" x14ac:dyDescent="0.35">
      <c r="A1" s="2" t="s">
        <v>17</v>
      </c>
      <c r="B1" s="2" t="s">
        <v>19</v>
      </c>
      <c r="C1" s="2" t="s">
        <v>20</v>
      </c>
      <c r="D1" s="2" t="s">
        <v>21</v>
      </c>
      <c r="E1" s="2" t="s">
        <v>22</v>
      </c>
      <c r="H1" s="2" t="s">
        <v>80</v>
      </c>
      <c r="I1" s="2" t="s">
        <v>22</v>
      </c>
      <c r="J1" s="2" t="s">
        <v>85</v>
      </c>
      <c r="K1" s="2" t="s">
        <v>22</v>
      </c>
      <c r="L1" s="2" t="s">
        <v>21</v>
      </c>
    </row>
    <row r="2" spans="1:12" x14ac:dyDescent="0.35">
      <c r="A2" s="2" t="s">
        <v>15</v>
      </c>
      <c r="B2" s="2" t="str">
        <f>UPPER(A2)</f>
        <v>AKSHAY KUMAR</v>
      </c>
      <c r="C2" s="2" t="str">
        <f>LOWER(A2)</f>
        <v>akshay kumar</v>
      </c>
      <c r="D2" s="2" t="str">
        <f>PROPER(A2)</f>
        <v>Akshay Kumar</v>
      </c>
      <c r="E2" s="2">
        <f>LEN(A2)</f>
        <v>12</v>
      </c>
      <c r="H2" s="2" t="s">
        <v>17</v>
      </c>
      <c r="I2" s="2">
        <f>LEN(H2)</f>
        <v>5</v>
      </c>
      <c r="J2" s="2" t="str">
        <f>TRIM(H2)</f>
        <v>Names</v>
      </c>
      <c r="K2" s="2">
        <f>LEN(H2)</f>
        <v>5</v>
      </c>
      <c r="L2" s="2" t="str">
        <f>PROPER(H2)</f>
        <v>Names</v>
      </c>
    </row>
    <row r="3" spans="1:12" x14ac:dyDescent="0.35">
      <c r="A3" s="2" t="s">
        <v>26</v>
      </c>
      <c r="B3" s="2" t="str">
        <f t="shared" ref="B3:B16" si="0">UPPER(A3)</f>
        <v>SUNIL SHETTY</v>
      </c>
      <c r="C3" s="2" t="str">
        <f t="shared" ref="C3:C16" si="1">LOWER(A3)</f>
        <v>sunil shetty</v>
      </c>
      <c r="D3" s="2" t="str">
        <f t="shared" ref="D3:D16" si="2">PROPER(A3)</f>
        <v>Sunil Shetty</v>
      </c>
      <c r="E3" s="2">
        <f t="shared" ref="E3:E16" si="3">LEN(A3)</f>
        <v>12</v>
      </c>
      <c r="H3" s="2" t="s">
        <v>81</v>
      </c>
      <c r="I3" s="2">
        <f t="shared" ref="I3:I6" si="4">LEN(H3)</f>
        <v>20</v>
      </c>
      <c r="J3" s="2" t="str">
        <f t="shared" ref="J3:J6" si="5">TRIM(H3)</f>
        <v>Bangalore South</v>
      </c>
      <c r="K3" s="2">
        <f t="shared" ref="K3:K6" si="6">LEN(H3)</f>
        <v>20</v>
      </c>
      <c r="L3" s="2" t="str">
        <f t="shared" ref="L3:L6" si="7">PROPER(H3)</f>
        <v>Bangalore      South</v>
      </c>
    </row>
    <row r="4" spans="1:12" x14ac:dyDescent="0.35">
      <c r="A4" s="2" t="s">
        <v>27</v>
      </c>
      <c r="B4" s="2" t="str">
        <f t="shared" si="0"/>
        <v>SUNNY DEOL</v>
      </c>
      <c r="C4" s="2" t="str">
        <f t="shared" si="1"/>
        <v>sunny deol</v>
      </c>
      <c r="D4" s="2" t="str">
        <f t="shared" si="2"/>
        <v>Sunny Deol</v>
      </c>
      <c r="E4" s="2">
        <f t="shared" si="3"/>
        <v>10</v>
      </c>
      <c r="H4" s="2" t="s">
        <v>83</v>
      </c>
      <c r="I4" s="2">
        <f t="shared" si="4"/>
        <v>26</v>
      </c>
      <c r="J4" s="2" t="str">
        <f t="shared" si="5"/>
        <v>Bangalore north</v>
      </c>
      <c r="K4" s="2">
        <f t="shared" si="6"/>
        <v>26</v>
      </c>
      <c r="L4" s="2" t="str">
        <f t="shared" si="7"/>
        <v xml:space="preserve">      Bangalore North     </v>
      </c>
    </row>
    <row r="5" spans="1:12" x14ac:dyDescent="0.35">
      <c r="A5" s="2" t="s">
        <v>29</v>
      </c>
      <c r="B5" s="2" t="str">
        <f t="shared" si="0"/>
        <v>ALLU ARJUN</v>
      </c>
      <c r="C5" s="2" t="str">
        <f t="shared" si="1"/>
        <v>allu arjun</v>
      </c>
      <c r="D5" s="2" t="str">
        <f t="shared" si="2"/>
        <v>Allu Arjun</v>
      </c>
      <c r="E5" s="2">
        <f t="shared" si="3"/>
        <v>10</v>
      </c>
      <c r="H5" s="2" t="s">
        <v>84</v>
      </c>
      <c r="I5" s="2">
        <f t="shared" si="4"/>
        <v>27</v>
      </c>
      <c r="J5" s="2" t="str">
        <f t="shared" si="5"/>
        <v>bangalore East</v>
      </c>
      <c r="K5" s="2">
        <f t="shared" si="6"/>
        <v>27</v>
      </c>
      <c r="L5" s="2" t="str">
        <f t="shared" si="7"/>
        <v xml:space="preserve">   Bangalore       East    </v>
      </c>
    </row>
    <row r="6" spans="1:12" x14ac:dyDescent="0.35">
      <c r="A6" s="2" t="s">
        <v>30</v>
      </c>
      <c r="B6" s="2" t="str">
        <f t="shared" si="0"/>
        <v>IMRAN KHAN</v>
      </c>
      <c r="C6" s="2" t="str">
        <f t="shared" si="1"/>
        <v>imran khan</v>
      </c>
      <c r="D6" s="2" t="str">
        <f t="shared" si="2"/>
        <v>Imran Khan</v>
      </c>
      <c r="E6" s="2">
        <f t="shared" si="3"/>
        <v>10</v>
      </c>
      <c r="H6" s="2" t="s">
        <v>82</v>
      </c>
      <c r="I6" s="2">
        <f t="shared" si="4"/>
        <v>19</v>
      </c>
      <c r="J6" s="2" t="str">
        <f t="shared" si="5"/>
        <v>bangalore west</v>
      </c>
      <c r="K6" s="2">
        <f t="shared" si="6"/>
        <v>19</v>
      </c>
      <c r="L6" s="2" t="str">
        <f t="shared" si="7"/>
        <v xml:space="preserve">  Bangalore    West</v>
      </c>
    </row>
    <row r="7" spans="1:12" x14ac:dyDescent="0.35">
      <c r="A7" s="2" t="s">
        <v>31</v>
      </c>
      <c r="B7" s="2" t="str">
        <f t="shared" si="0"/>
        <v>AMIR KHAN</v>
      </c>
      <c r="C7" s="2" t="str">
        <f t="shared" si="1"/>
        <v>amir khan</v>
      </c>
      <c r="D7" s="2" t="str">
        <f t="shared" si="2"/>
        <v>Amir Khan</v>
      </c>
      <c r="E7" s="2">
        <f t="shared" si="3"/>
        <v>9</v>
      </c>
    </row>
    <row r="8" spans="1:12" x14ac:dyDescent="0.35">
      <c r="A8" s="2" t="s">
        <v>32</v>
      </c>
      <c r="B8" s="2" t="str">
        <f t="shared" si="0"/>
        <v>SALMAN KHAN</v>
      </c>
      <c r="C8" s="2" t="str">
        <f t="shared" si="1"/>
        <v>salman khan</v>
      </c>
      <c r="D8" s="2" t="str">
        <f t="shared" si="2"/>
        <v>Salman Khan</v>
      </c>
      <c r="E8" s="2">
        <f t="shared" si="3"/>
        <v>11</v>
      </c>
    </row>
    <row r="9" spans="1:12" x14ac:dyDescent="0.35">
      <c r="A9" s="2" t="s">
        <v>33</v>
      </c>
      <c r="B9" s="2" t="str">
        <f t="shared" si="0"/>
        <v>MAHESH BABU</v>
      </c>
      <c r="C9" s="2" t="str">
        <f t="shared" si="1"/>
        <v>mahesh babu</v>
      </c>
      <c r="D9" s="2" t="str">
        <f t="shared" si="2"/>
        <v>Mahesh Babu</v>
      </c>
      <c r="E9" s="2">
        <f t="shared" si="3"/>
        <v>11</v>
      </c>
      <c r="J9" s="2" t="s">
        <v>89</v>
      </c>
      <c r="K9" s="2" t="s">
        <v>90</v>
      </c>
      <c r="L9" s="2" t="s">
        <v>86</v>
      </c>
    </row>
    <row r="10" spans="1:12" x14ac:dyDescent="0.35">
      <c r="A10" s="2" t="s">
        <v>34</v>
      </c>
      <c r="B10" s="2" t="str">
        <f t="shared" si="0"/>
        <v>SUDEEP SANJEEV</v>
      </c>
      <c r="C10" s="2" t="str">
        <f t="shared" si="1"/>
        <v>sudeep sanjeev</v>
      </c>
      <c r="D10" s="2" t="str">
        <f t="shared" si="2"/>
        <v>Sudeep Sanjeev</v>
      </c>
      <c r="E10" s="2">
        <f t="shared" si="3"/>
        <v>14</v>
      </c>
      <c r="J10" s="2" t="s">
        <v>126</v>
      </c>
      <c r="K10" s="2">
        <v>3</v>
      </c>
      <c r="L10" s="2" t="str">
        <f>REPT(J10,K10)</f>
        <v>ZZZ</v>
      </c>
    </row>
    <row r="11" spans="1:12" x14ac:dyDescent="0.35">
      <c r="A11" s="2" t="s">
        <v>35</v>
      </c>
      <c r="B11" s="2" t="str">
        <f t="shared" si="0"/>
        <v>NAVEEN KUMAR</v>
      </c>
      <c r="C11" s="2" t="str">
        <f t="shared" si="1"/>
        <v>naveen kumar</v>
      </c>
      <c r="D11" s="2" t="str">
        <f t="shared" si="2"/>
        <v>Naveen Kumar</v>
      </c>
      <c r="E11" s="2">
        <f t="shared" si="3"/>
        <v>12</v>
      </c>
      <c r="J11" s="2" t="s">
        <v>126</v>
      </c>
      <c r="K11" s="2">
        <v>4</v>
      </c>
      <c r="L11" s="2" t="str">
        <f t="shared" ref="L11:L12" si="8">REPT(J11,K11)</f>
        <v>ZZZZ</v>
      </c>
    </row>
    <row r="12" spans="1:12" x14ac:dyDescent="0.35">
      <c r="A12" s="2" t="s">
        <v>28</v>
      </c>
      <c r="B12" s="2" t="str">
        <f t="shared" si="0"/>
        <v>KARAN JOHAR</v>
      </c>
      <c r="C12" s="2" t="str">
        <f t="shared" si="1"/>
        <v>karan johar</v>
      </c>
      <c r="D12" s="2" t="str">
        <f t="shared" si="2"/>
        <v>Karan Johar</v>
      </c>
      <c r="E12" s="2">
        <f t="shared" si="3"/>
        <v>11</v>
      </c>
      <c r="J12" s="2" t="s">
        <v>126</v>
      </c>
      <c r="K12" s="2">
        <v>5</v>
      </c>
      <c r="L12" s="2" t="str">
        <f t="shared" si="8"/>
        <v>ZZZZZ</v>
      </c>
    </row>
    <row r="13" spans="1:12" x14ac:dyDescent="0.35">
      <c r="A13" s="2" t="s">
        <v>36</v>
      </c>
      <c r="B13" s="2" t="str">
        <f t="shared" si="0"/>
        <v>KIRAN RAO</v>
      </c>
      <c r="C13" s="2" t="str">
        <f t="shared" si="1"/>
        <v>kiran rao</v>
      </c>
      <c r="D13" s="2" t="str">
        <f t="shared" si="2"/>
        <v>Kiran Rao</v>
      </c>
      <c r="E13" s="2">
        <f t="shared" si="3"/>
        <v>9</v>
      </c>
    </row>
    <row r="14" spans="1:12" x14ac:dyDescent="0.35">
      <c r="A14" s="2" t="s">
        <v>37</v>
      </c>
      <c r="B14" s="2" t="str">
        <f t="shared" si="0"/>
        <v>UDAY SHETTY</v>
      </c>
      <c r="C14" s="2" t="str">
        <f t="shared" si="1"/>
        <v>uday shetty</v>
      </c>
      <c r="D14" s="2" t="str">
        <f t="shared" si="2"/>
        <v>Uday Shetty</v>
      </c>
      <c r="E14" s="2">
        <f t="shared" si="3"/>
        <v>11</v>
      </c>
    </row>
    <row r="15" spans="1:12" x14ac:dyDescent="0.35">
      <c r="A15" s="2" t="s">
        <v>38</v>
      </c>
      <c r="B15" s="2" t="str">
        <f t="shared" si="0"/>
        <v>MAJNU BHAI</v>
      </c>
      <c r="C15" s="2" t="str">
        <f t="shared" si="1"/>
        <v>majnu bhai</v>
      </c>
      <c r="D15" s="2" t="str">
        <f t="shared" si="2"/>
        <v>Majnu Bhai</v>
      </c>
      <c r="E15" s="2">
        <f t="shared" si="3"/>
        <v>10</v>
      </c>
      <c r="J15" t="s">
        <v>127</v>
      </c>
    </row>
    <row r="16" spans="1:12" x14ac:dyDescent="0.35">
      <c r="A16" s="2" t="s">
        <v>39</v>
      </c>
      <c r="B16" s="2" t="str">
        <f t="shared" si="0"/>
        <v>PUSHPA RAJ</v>
      </c>
      <c r="C16" s="2" t="str">
        <f t="shared" si="1"/>
        <v>pushpa raj</v>
      </c>
      <c r="D16" s="2" t="str">
        <f t="shared" si="2"/>
        <v>Pushpa Raj</v>
      </c>
      <c r="E16" s="2">
        <f t="shared" si="3"/>
        <v>10</v>
      </c>
    </row>
    <row r="17" spans="8:13" x14ac:dyDescent="0.35">
      <c r="H17" s="2" t="s">
        <v>128</v>
      </c>
      <c r="J17" s="2" t="s">
        <v>87</v>
      </c>
      <c r="K17" s="2" t="s">
        <v>88</v>
      </c>
      <c r="M17" s="2" t="s">
        <v>86</v>
      </c>
    </row>
    <row r="18" spans="8:13" x14ac:dyDescent="0.35">
      <c r="H18" s="2" t="s">
        <v>129</v>
      </c>
      <c r="J18" s="2">
        <v>1</v>
      </c>
      <c r="K18" s="2">
        <v>2</v>
      </c>
      <c r="M18" s="2" t="str">
        <f>REPT(J18,4)</f>
        <v>1111</v>
      </c>
    </row>
    <row r="19" spans="8:13" x14ac:dyDescent="0.35">
      <c r="H19" s="2" t="s">
        <v>130</v>
      </c>
      <c r="J19" s="2">
        <v>2</v>
      </c>
      <c r="K19" s="2">
        <v>3</v>
      </c>
      <c r="M19" s="2" t="str">
        <f t="shared" ref="M19:M25" si="9">REPT(J19,4)</f>
        <v>2222</v>
      </c>
    </row>
    <row r="20" spans="8:13" x14ac:dyDescent="0.35">
      <c r="H20" s="2" t="s">
        <v>131</v>
      </c>
      <c r="J20" s="2">
        <v>6</v>
      </c>
      <c r="K20" s="2">
        <v>4</v>
      </c>
      <c r="M20" s="2" t="str">
        <f t="shared" si="9"/>
        <v>6666</v>
      </c>
    </row>
    <row r="21" spans="8:13" x14ac:dyDescent="0.35">
      <c r="H21" s="2" t="s">
        <v>132</v>
      </c>
      <c r="J21" s="2">
        <v>50</v>
      </c>
      <c r="K21" s="2">
        <v>3</v>
      </c>
      <c r="M21" s="2" t="str">
        <f t="shared" si="9"/>
        <v>50505050</v>
      </c>
    </row>
    <row r="22" spans="8:13" x14ac:dyDescent="0.35">
      <c r="H22" s="2" t="s">
        <v>133</v>
      </c>
      <c r="J22" s="2">
        <v>60</v>
      </c>
      <c r="K22" s="2">
        <v>6</v>
      </c>
      <c r="M22" s="2" t="str">
        <f t="shared" si="9"/>
        <v>60606060</v>
      </c>
    </row>
    <row r="23" spans="8:13" x14ac:dyDescent="0.35">
      <c r="H23" s="2" t="s">
        <v>134</v>
      </c>
      <c r="J23" s="2">
        <v>80</v>
      </c>
      <c r="K23" s="2">
        <v>3</v>
      </c>
      <c r="M23" s="2" t="str">
        <f t="shared" si="9"/>
        <v>80808080</v>
      </c>
    </row>
    <row r="24" spans="8:13" x14ac:dyDescent="0.35">
      <c r="H24" s="2" t="s">
        <v>135</v>
      </c>
      <c r="J24" s="2">
        <v>100</v>
      </c>
      <c r="K24" s="2">
        <v>5</v>
      </c>
      <c r="M24" s="2" t="str">
        <f t="shared" si="9"/>
        <v>100100100100</v>
      </c>
    </row>
    <row r="25" spans="8:13" x14ac:dyDescent="0.35">
      <c r="H25" s="2" t="s">
        <v>136</v>
      </c>
      <c r="J25" s="2">
        <v>500</v>
      </c>
      <c r="K25" s="2">
        <v>6</v>
      </c>
      <c r="M25" s="2" t="str">
        <f t="shared" si="9"/>
        <v>500500500500</v>
      </c>
    </row>
  </sheetData>
  <pageMargins left="0.7" right="0.7" top="0.75" bottom="0.75" header="0.3" footer="0.3"/>
  <ignoredErrors>
    <ignoredError sqref="H18:H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D751-D44B-4BC7-85D9-67A1132A6146}">
  <dimension ref="A1:P26"/>
  <sheetViews>
    <sheetView showGridLines="0" topLeftCell="A15" workbookViewId="0">
      <selection activeCell="F22" sqref="F22"/>
    </sheetView>
  </sheetViews>
  <sheetFormatPr defaultRowHeight="20.399999999999999" x14ac:dyDescent="0.35"/>
  <cols>
    <col min="1" max="1" width="10.46484375" bestFit="1" customWidth="1"/>
    <col min="2" max="2" width="11.73046875" customWidth="1"/>
    <col min="3" max="4" width="13.6640625" customWidth="1"/>
    <col min="5" max="5" width="12.53125" customWidth="1"/>
    <col min="6" max="6" width="11.265625" customWidth="1"/>
    <col min="7" max="7" width="13.33203125" customWidth="1"/>
    <col min="8" max="8" width="12.33203125" customWidth="1"/>
    <col min="12" max="12" width="14" bestFit="1" customWidth="1"/>
    <col min="14" max="14" width="11.19921875" bestFit="1" customWidth="1"/>
    <col min="15" max="15" width="13.6640625" bestFit="1" customWidth="1"/>
    <col min="16" max="16" width="14.6640625" bestFit="1" customWidth="1"/>
  </cols>
  <sheetData>
    <row r="1" spans="1:16" x14ac:dyDescent="0.35">
      <c r="A1" s="2" t="s">
        <v>60</v>
      </c>
      <c r="B1" s="17" t="s">
        <v>61</v>
      </c>
      <c r="C1" s="2" t="s">
        <v>62</v>
      </c>
      <c r="D1" s="17" t="s">
        <v>63</v>
      </c>
      <c r="E1" s="6" t="s">
        <v>64</v>
      </c>
      <c r="F1" s="6" t="s">
        <v>65</v>
      </c>
      <c r="G1" s="6" t="s">
        <v>66</v>
      </c>
      <c r="H1" s="6" t="s">
        <v>67</v>
      </c>
    </row>
    <row r="2" spans="1:16" x14ac:dyDescent="0.35">
      <c r="A2" s="2">
        <v>34</v>
      </c>
      <c r="B2" s="2" t="b">
        <f>ISTEXT(A2)</f>
        <v>0</v>
      </c>
      <c r="C2" s="2" t="b">
        <f>ISNONTEXT(A2)</f>
        <v>1</v>
      </c>
      <c r="D2" s="2" t="b">
        <f>ISNUMBER(A2)</f>
        <v>1</v>
      </c>
      <c r="E2" s="2" t="b">
        <f>ISEVEN(A2)</f>
        <v>1</v>
      </c>
      <c r="F2" s="2" t="b">
        <f>ISODD(A2)</f>
        <v>0</v>
      </c>
      <c r="G2" s="2" t="b">
        <f>_xlfn.ISFORMULA(A2)</f>
        <v>0</v>
      </c>
      <c r="H2" s="2" t="b">
        <f>ISLOGICAL(A2)</f>
        <v>0</v>
      </c>
      <c r="L2" s="6" t="s">
        <v>121</v>
      </c>
      <c r="M2" s="6" t="s">
        <v>122</v>
      </c>
      <c r="N2" s="6" t="s">
        <v>123</v>
      </c>
      <c r="O2" s="6" t="s">
        <v>124</v>
      </c>
      <c r="P2" s="6" t="s">
        <v>125</v>
      </c>
    </row>
    <row r="3" spans="1:16" x14ac:dyDescent="0.35">
      <c r="A3" s="2">
        <v>54</v>
      </c>
      <c r="B3" s="2" t="b">
        <f t="shared" ref="B3:B14" si="0">ISTEXT(A3)</f>
        <v>0</v>
      </c>
      <c r="C3" s="2" t="b">
        <f t="shared" ref="C3:C14" si="1">ISNONTEXT(A3)</f>
        <v>1</v>
      </c>
      <c r="D3" s="2" t="b">
        <f t="shared" ref="D3:D14" si="2">ISNUMBER(A3)</f>
        <v>1</v>
      </c>
      <c r="E3" s="2" t="b">
        <f t="shared" ref="E3:E14" si="3">ISEVEN(A3)</f>
        <v>1</v>
      </c>
      <c r="F3" s="2" t="b">
        <f t="shared" ref="F3:F14" si="4">ISODD(A3)</f>
        <v>0</v>
      </c>
      <c r="G3" s="2" t="b">
        <f t="shared" ref="G3:G14" si="5">_xlfn.ISFORMULA(A3)</f>
        <v>0</v>
      </c>
      <c r="H3" s="2" t="b">
        <f t="shared" ref="H3:H14" si="6">ISLOGICAL(A3)</f>
        <v>0</v>
      </c>
      <c r="L3" s="2" t="e">
        <v>#REF!</v>
      </c>
      <c r="M3" s="2" t="e">
        <f>_xlfn.IFNA(L3,0)</f>
        <v>#REF!</v>
      </c>
      <c r="N3" s="2">
        <f>IFERROR(L3,0)</f>
        <v>0</v>
      </c>
      <c r="O3" s="2" t="str">
        <f>IFERROR(L3,"Not Found")</f>
        <v>Not Found</v>
      </c>
      <c r="P3" s="2" t="str">
        <f>IFERROR(L3,"")</f>
        <v/>
      </c>
    </row>
    <row r="4" spans="1:16" x14ac:dyDescent="0.35">
      <c r="A4" s="2">
        <v>33</v>
      </c>
      <c r="B4" s="2" t="b">
        <f t="shared" si="0"/>
        <v>0</v>
      </c>
      <c r="C4" s="2" t="b">
        <f t="shared" si="1"/>
        <v>1</v>
      </c>
      <c r="D4" s="2" t="b">
        <f t="shared" si="2"/>
        <v>1</v>
      </c>
      <c r="E4" s="2" t="b">
        <f t="shared" si="3"/>
        <v>0</v>
      </c>
      <c r="F4" s="2" t="b">
        <f t="shared" si="4"/>
        <v>1</v>
      </c>
      <c r="G4" s="2" t="b">
        <f t="shared" si="5"/>
        <v>0</v>
      </c>
      <c r="H4" s="2" t="b">
        <f t="shared" si="6"/>
        <v>0</v>
      </c>
      <c r="L4" s="2" t="e">
        <v>#NAME?</v>
      </c>
      <c r="M4" s="2" t="e">
        <f t="shared" ref="M4:M8" si="7">_xlfn.IFNA(L4,0)</f>
        <v>#NAME?</v>
      </c>
      <c r="N4" s="2">
        <f t="shared" ref="N4:N8" si="8">IFERROR(L4,0)</f>
        <v>0</v>
      </c>
      <c r="O4" s="2" t="str">
        <f t="shared" ref="O4:O8" si="9">IFERROR(L4,"Not Found")</f>
        <v>Not Found</v>
      </c>
      <c r="P4" s="2" t="str">
        <f t="shared" ref="P4:P8" si="10">IFERROR(L4,"")</f>
        <v/>
      </c>
    </row>
    <row r="5" spans="1:16" x14ac:dyDescent="0.35">
      <c r="A5" s="2">
        <v>55</v>
      </c>
      <c r="B5" s="2" t="b">
        <f t="shared" si="0"/>
        <v>0</v>
      </c>
      <c r="C5" s="2" t="b">
        <f t="shared" si="1"/>
        <v>1</v>
      </c>
      <c r="D5" s="2" t="b">
        <f t="shared" si="2"/>
        <v>1</v>
      </c>
      <c r="E5" s="2" t="b">
        <f t="shared" si="3"/>
        <v>0</v>
      </c>
      <c r="F5" s="2" t="b">
        <f t="shared" si="4"/>
        <v>1</v>
      </c>
      <c r="G5" s="2" t="b">
        <f t="shared" si="5"/>
        <v>0</v>
      </c>
      <c r="H5" s="2" t="b">
        <f t="shared" si="6"/>
        <v>0</v>
      </c>
      <c r="L5" s="2" t="e">
        <v>#N/A</v>
      </c>
      <c r="M5" s="2">
        <f t="shared" si="7"/>
        <v>0</v>
      </c>
      <c r="N5" s="2">
        <f t="shared" si="8"/>
        <v>0</v>
      </c>
      <c r="O5" s="2" t="str">
        <f t="shared" si="9"/>
        <v>Not Found</v>
      </c>
      <c r="P5" s="2" t="str">
        <f t="shared" si="10"/>
        <v/>
      </c>
    </row>
    <row r="6" spans="1:16" x14ac:dyDescent="0.35">
      <c r="A6" s="3">
        <f ca="1">TODAY()</f>
        <v>46299</v>
      </c>
      <c r="B6" s="2" t="b">
        <f t="shared" ca="1" si="0"/>
        <v>0</v>
      </c>
      <c r="C6" s="2" t="b">
        <f t="shared" ca="1" si="1"/>
        <v>1</v>
      </c>
      <c r="D6" s="2" t="b">
        <f t="shared" ca="1" si="2"/>
        <v>1</v>
      </c>
      <c r="E6" s="2" t="b">
        <f t="shared" ca="1" si="3"/>
        <v>0</v>
      </c>
      <c r="F6" s="2" t="b">
        <f t="shared" ca="1" si="4"/>
        <v>1</v>
      </c>
      <c r="G6" s="2" t="b">
        <f t="shared" si="5"/>
        <v>1</v>
      </c>
      <c r="H6" s="2" t="b">
        <f t="shared" ca="1" si="6"/>
        <v>0</v>
      </c>
      <c r="L6" s="2" t="e">
        <v>#DIV/0!</v>
      </c>
      <c r="M6" s="2" t="e">
        <f t="shared" si="7"/>
        <v>#DIV/0!</v>
      </c>
      <c r="N6" s="2">
        <f t="shared" si="8"/>
        <v>0</v>
      </c>
      <c r="O6" s="2" t="str">
        <f t="shared" si="9"/>
        <v>Not Found</v>
      </c>
      <c r="P6" s="2" t="str">
        <f t="shared" si="10"/>
        <v/>
      </c>
    </row>
    <row r="7" spans="1:16" x14ac:dyDescent="0.35">
      <c r="A7" s="2" t="s">
        <v>68</v>
      </c>
      <c r="B7" s="2" t="b">
        <f t="shared" si="0"/>
        <v>1</v>
      </c>
      <c r="C7" s="2" t="b">
        <f t="shared" si="1"/>
        <v>0</v>
      </c>
      <c r="D7" s="2" t="b">
        <f t="shared" si="2"/>
        <v>0</v>
      </c>
      <c r="E7" s="2" t="e">
        <f t="shared" si="3"/>
        <v>#VALUE!</v>
      </c>
      <c r="F7" s="2" t="e">
        <f t="shared" si="4"/>
        <v>#VALUE!</v>
      </c>
      <c r="G7" s="2" t="b">
        <f t="shared" si="5"/>
        <v>0</v>
      </c>
      <c r="H7" s="2" t="b">
        <f t="shared" si="6"/>
        <v>0</v>
      </c>
      <c r="L7" s="2" t="e">
        <v>#VALUE!</v>
      </c>
      <c r="M7" s="2" t="e">
        <f t="shared" si="7"/>
        <v>#VALUE!</v>
      </c>
      <c r="N7" s="2">
        <f t="shared" si="8"/>
        <v>0</v>
      </c>
      <c r="O7" s="2" t="str">
        <f t="shared" si="9"/>
        <v>Not Found</v>
      </c>
      <c r="P7" s="2" t="str">
        <f t="shared" si="10"/>
        <v/>
      </c>
    </row>
    <row r="8" spans="1:16" x14ac:dyDescent="0.35">
      <c r="A8" s="2">
        <v>23</v>
      </c>
      <c r="B8" s="2" t="b">
        <f t="shared" si="0"/>
        <v>0</v>
      </c>
      <c r="C8" s="2" t="b">
        <f t="shared" si="1"/>
        <v>1</v>
      </c>
      <c r="D8" s="2" t="b">
        <f t="shared" si="2"/>
        <v>1</v>
      </c>
      <c r="E8" s="2" t="b">
        <f t="shared" si="3"/>
        <v>0</v>
      </c>
      <c r="F8" s="2" t="b">
        <f t="shared" si="4"/>
        <v>1</v>
      </c>
      <c r="G8" s="2" t="b">
        <f t="shared" si="5"/>
        <v>0</v>
      </c>
      <c r="H8" s="2" t="b">
        <f t="shared" si="6"/>
        <v>0</v>
      </c>
      <c r="L8" s="2" t="e" vm="1">
        <v>#VALUE!</v>
      </c>
      <c r="M8" s="2" t="e" vm="2">
        <f t="shared" si="7"/>
        <v>#VALUE!</v>
      </c>
      <c r="N8" s="2">
        <f t="shared" si="8"/>
        <v>0</v>
      </c>
      <c r="O8" s="2" t="str">
        <f t="shared" si="9"/>
        <v>Not Found</v>
      </c>
      <c r="P8" s="2" t="str">
        <f t="shared" si="10"/>
        <v/>
      </c>
    </row>
    <row r="9" spans="1:16" x14ac:dyDescent="0.35">
      <c r="A9" s="2" t="s">
        <v>69</v>
      </c>
      <c r="B9" s="2" t="b">
        <f t="shared" si="0"/>
        <v>1</v>
      </c>
      <c r="C9" s="2" t="b">
        <f t="shared" si="1"/>
        <v>0</v>
      </c>
      <c r="D9" s="2" t="b">
        <f t="shared" si="2"/>
        <v>0</v>
      </c>
      <c r="E9" s="2" t="e">
        <f t="shared" si="3"/>
        <v>#VALUE!</v>
      </c>
      <c r="F9" s="2" t="e">
        <f t="shared" si="4"/>
        <v>#VALUE!</v>
      </c>
      <c r="G9" s="2" t="b">
        <f t="shared" si="5"/>
        <v>0</v>
      </c>
      <c r="H9" s="2" t="b">
        <f t="shared" si="6"/>
        <v>0</v>
      </c>
      <c r="M9" s="18"/>
      <c r="N9" s="18"/>
      <c r="O9" s="18"/>
      <c r="P9" s="18"/>
    </row>
    <row r="10" spans="1:16" x14ac:dyDescent="0.35">
      <c r="A10" s="2" t="b">
        <v>1</v>
      </c>
      <c r="B10" s="2" t="b">
        <f t="shared" si="0"/>
        <v>0</v>
      </c>
      <c r="C10" s="2" t="b">
        <f t="shared" si="1"/>
        <v>1</v>
      </c>
      <c r="D10" s="2" t="b">
        <f t="shared" si="2"/>
        <v>0</v>
      </c>
      <c r="E10" s="2" t="e">
        <f t="shared" si="3"/>
        <v>#VALUE!</v>
      </c>
      <c r="F10" s="2" t="e">
        <f t="shared" si="4"/>
        <v>#VALUE!</v>
      </c>
      <c r="G10" s="2" t="b">
        <f t="shared" si="5"/>
        <v>0</v>
      </c>
      <c r="H10" s="2" t="b">
        <f t="shared" si="6"/>
        <v>1</v>
      </c>
      <c r="L10" t="s">
        <v>143</v>
      </c>
    </row>
    <row r="11" spans="1:16" x14ac:dyDescent="0.35">
      <c r="A11" s="2">
        <v>89</v>
      </c>
      <c r="B11" s="2" t="b">
        <f t="shared" si="0"/>
        <v>0</v>
      </c>
      <c r="C11" s="2" t="b">
        <f t="shared" si="1"/>
        <v>1</v>
      </c>
      <c r="D11" s="2" t="b">
        <f t="shared" si="2"/>
        <v>1</v>
      </c>
      <c r="E11" s="2" t="b">
        <f t="shared" si="3"/>
        <v>0</v>
      </c>
      <c r="F11" s="2" t="b">
        <f t="shared" si="4"/>
        <v>1</v>
      </c>
      <c r="G11" s="2" t="b">
        <f t="shared" si="5"/>
        <v>0</v>
      </c>
      <c r="H11" s="2" t="b">
        <f t="shared" si="6"/>
        <v>0</v>
      </c>
      <c r="L11" t="s">
        <v>144</v>
      </c>
      <c r="M11" t="str">
        <f ca="1">_xlfn.FORMULATEXT(M3)</f>
        <v>=IFNA(L3,0)</v>
      </c>
    </row>
    <row r="12" spans="1:16" x14ac:dyDescent="0.35">
      <c r="A12" s="2">
        <v>23</v>
      </c>
      <c r="B12" s="2" t="b">
        <f t="shared" si="0"/>
        <v>0</v>
      </c>
      <c r="C12" s="2" t="b">
        <f t="shared" si="1"/>
        <v>1</v>
      </c>
      <c r="D12" s="2" t="b">
        <f t="shared" si="2"/>
        <v>1</v>
      </c>
      <c r="E12" s="2" t="b">
        <f t="shared" si="3"/>
        <v>0</v>
      </c>
      <c r="F12" s="2" t="b">
        <f t="shared" si="4"/>
        <v>1</v>
      </c>
      <c r="G12" s="2" t="b">
        <f t="shared" si="5"/>
        <v>0</v>
      </c>
      <c r="H12" s="2" t="b">
        <f t="shared" si="6"/>
        <v>0</v>
      </c>
      <c r="L12" t="s">
        <v>145</v>
      </c>
      <c r="M12" t="str">
        <f ca="1">_xlfn.FORMULATEXT(N3)</f>
        <v>=IFERROR(L3,0)</v>
      </c>
    </row>
    <row r="13" spans="1:16" x14ac:dyDescent="0.35">
      <c r="A13" s="2" t="b">
        <v>0</v>
      </c>
      <c r="B13" s="2" t="b">
        <f t="shared" si="0"/>
        <v>0</v>
      </c>
      <c r="C13" s="2" t="b">
        <f t="shared" si="1"/>
        <v>1</v>
      </c>
      <c r="D13" s="2" t="b">
        <f t="shared" si="2"/>
        <v>0</v>
      </c>
      <c r="E13" s="2" t="e">
        <f t="shared" si="3"/>
        <v>#VALUE!</v>
      </c>
      <c r="F13" s="2" t="e">
        <f t="shared" si="4"/>
        <v>#VALUE!</v>
      </c>
      <c r="G13" s="2" t="b">
        <f t="shared" si="5"/>
        <v>0</v>
      </c>
      <c r="H13" s="2" t="b">
        <f t="shared" si="6"/>
        <v>1</v>
      </c>
      <c r="L13" t="s">
        <v>146</v>
      </c>
      <c r="M13" t="str">
        <f ca="1">_xlfn.FORMULATEXT(O3)</f>
        <v>=IFERROR(L3,"Not Found")</v>
      </c>
    </row>
    <row r="14" spans="1:16" x14ac:dyDescent="0.35">
      <c r="A14" s="2">
        <v>52</v>
      </c>
      <c r="B14" s="2" t="b">
        <f t="shared" si="0"/>
        <v>0</v>
      </c>
      <c r="C14" s="2" t="b">
        <f t="shared" si="1"/>
        <v>1</v>
      </c>
      <c r="D14" s="2" t="b">
        <f t="shared" si="2"/>
        <v>1</v>
      </c>
      <c r="E14" s="2" t="b">
        <f t="shared" si="3"/>
        <v>1</v>
      </c>
      <c r="F14" s="2" t="b">
        <f t="shared" si="4"/>
        <v>0</v>
      </c>
      <c r="G14" s="2" t="b">
        <f t="shared" si="5"/>
        <v>0</v>
      </c>
      <c r="H14" s="2" t="b">
        <f t="shared" si="6"/>
        <v>0</v>
      </c>
      <c r="L14" t="s">
        <v>147</v>
      </c>
      <c r="M14" t="str">
        <f ca="1">_xlfn.FORMULATEXT(P3)</f>
        <v>=IFERROR(L3,"")</v>
      </c>
    </row>
    <row r="19" spans="2:7" ht="40.799999999999997" x14ac:dyDescent="0.35">
      <c r="C19" s="19" t="s">
        <v>148</v>
      </c>
      <c r="F19" t="s">
        <v>158</v>
      </c>
    </row>
    <row r="20" spans="2:7" x14ac:dyDescent="0.35">
      <c r="B20" t="s">
        <v>149</v>
      </c>
      <c r="C20" t="s">
        <v>150</v>
      </c>
      <c r="F20" t="s">
        <v>159</v>
      </c>
      <c r="G20" t="str">
        <f ca="1">_xlfn.FORMULATEXT(B2)</f>
        <v>=ISTEXT(A2)</v>
      </c>
    </row>
    <row r="21" spans="2:7" x14ac:dyDescent="0.35">
      <c r="B21" t="s">
        <v>151</v>
      </c>
      <c r="C21" t="s">
        <v>152</v>
      </c>
      <c r="F21" t="s">
        <v>160</v>
      </c>
      <c r="G21" t="str">
        <f ca="1">_xlfn.FORMULATEXT(D2)</f>
        <v>=ISNUMBER(A2)</v>
      </c>
    </row>
    <row r="22" spans="2:7" x14ac:dyDescent="0.35">
      <c r="B22" t="s">
        <v>153</v>
      </c>
      <c r="C22" t="s">
        <v>153</v>
      </c>
      <c r="F22" t="s">
        <v>161</v>
      </c>
      <c r="G22" t="str">
        <f ca="1">_xlfn.FORMULATEXT(C2)</f>
        <v>=ISNONTEXT(A2)</v>
      </c>
    </row>
    <row r="23" spans="2:7" x14ac:dyDescent="0.35">
      <c r="B23" t="s">
        <v>154</v>
      </c>
      <c r="C23" t="s">
        <v>155</v>
      </c>
      <c r="F23" t="s">
        <v>162</v>
      </c>
      <c r="G23" t="str">
        <f ca="1">_xlfn.FORMULATEXT(E2)</f>
        <v>=ISEVEN(A2)</v>
      </c>
    </row>
    <row r="24" spans="2:7" x14ac:dyDescent="0.35">
      <c r="B24" t="s">
        <v>156</v>
      </c>
      <c r="C24" t="s">
        <v>157</v>
      </c>
      <c r="F24" t="s">
        <v>163</v>
      </c>
      <c r="G24" t="str">
        <f ca="1">_xlfn.FORMULATEXT(F2)</f>
        <v>=ISODD(A2)</v>
      </c>
    </row>
    <row r="25" spans="2:7" x14ac:dyDescent="0.35">
      <c r="F25" t="s">
        <v>164</v>
      </c>
      <c r="G25" t="str">
        <f ca="1">_xlfn.FORMULATEXT(G2)</f>
        <v>=ISFORMULA(A2)</v>
      </c>
    </row>
    <row r="26" spans="2:7" x14ac:dyDescent="0.35">
      <c r="F26" t="s">
        <v>165</v>
      </c>
      <c r="G26" t="str">
        <f ca="1">_xlfn.FORMULATEXT(H2)</f>
        <v>=ISLOGICAL(A2)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5DDA-ED5F-4C71-892A-F0CC2D4EAF75}">
  <dimension ref="A1:J28"/>
  <sheetViews>
    <sheetView showGridLines="0" topLeftCell="A9" workbookViewId="0">
      <selection activeCell="A20" sqref="A20"/>
    </sheetView>
  </sheetViews>
  <sheetFormatPr defaultRowHeight="19.2" x14ac:dyDescent="0.35"/>
  <cols>
    <col min="1" max="1" width="17.9296875" style="15" bestFit="1" customWidth="1"/>
    <col min="2" max="2" width="11.796875" style="15" bestFit="1" customWidth="1"/>
    <col min="3" max="3" width="9.06640625" style="15"/>
    <col min="4" max="4" width="21.796875" style="15" customWidth="1"/>
    <col min="5" max="5" width="19.796875" style="15" bestFit="1" customWidth="1"/>
    <col min="6" max="6" width="19.265625" style="15" bestFit="1" customWidth="1"/>
    <col min="7" max="7" width="2.3984375" style="15" customWidth="1"/>
    <col min="8" max="8" width="10.1328125" style="15" bestFit="1" customWidth="1"/>
    <col min="9" max="9" width="19.53125" style="15" bestFit="1" customWidth="1"/>
    <col min="10" max="16384" width="9.06640625" style="15"/>
  </cols>
  <sheetData>
    <row r="1" spans="1:9" x14ac:dyDescent="0.35">
      <c r="A1" s="14" t="s">
        <v>17</v>
      </c>
      <c r="B1" s="14" t="s">
        <v>73</v>
      </c>
      <c r="C1" s="14" t="s">
        <v>99</v>
      </c>
      <c r="D1" s="14" t="s">
        <v>74</v>
      </c>
      <c r="E1" s="14" t="s">
        <v>116</v>
      </c>
      <c r="F1" s="14" t="s">
        <v>117</v>
      </c>
    </row>
    <row r="2" spans="1:9" x14ac:dyDescent="0.35">
      <c r="A2" s="14" t="s">
        <v>139</v>
      </c>
      <c r="B2" s="14" t="str">
        <f>LEFT(A2,6)</f>
        <v>Naveen</v>
      </c>
      <c r="C2" s="14" t="str">
        <f>MID(A2,8,5)</f>
        <v>Kumar</v>
      </c>
      <c r="D2" s="14" t="str">
        <f>RIGHT(A2,5)</f>
        <v>Singh</v>
      </c>
      <c r="E2" s="14" t="str">
        <f>A2&amp;" "</f>
        <v xml:space="preserve">Naveen Kumar Singh </v>
      </c>
      <c r="F2" s="14" t="str">
        <f>_xlfn.CONCAT(A2)</f>
        <v>Naveen Kumar Singh</v>
      </c>
      <c r="H2" s="14" t="s">
        <v>119</v>
      </c>
      <c r="I2" s="14" t="s">
        <v>120</v>
      </c>
    </row>
    <row r="3" spans="1:9" x14ac:dyDescent="0.35">
      <c r="A3" s="14" t="s">
        <v>140</v>
      </c>
      <c r="B3" s="14" t="str">
        <f t="shared" ref="B3:B4" si="0">LEFT(A3,6)</f>
        <v>Manish</v>
      </c>
      <c r="C3" s="14" t="str">
        <f t="shared" ref="C3:C4" si="1">MID(A3,8,5)</f>
        <v>Arjun</v>
      </c>
      <c r="D3" s="14" t="str">
        <f t="shared" ref="D3:D4" si="2">RIGHT(A3,5)</f>
        <v>Dutta</v>
      </c>
      <c r="E3" s="14" t="str">
        <f t="shared" ref="E3:E4" si="3">A3&amp;" "</f>
        <v xml:space="preserve">Manish Arjun Dutta </v>
      </c>
      <c r="F3" s="14" t="str">
        <f t="shared" ref="F3:F4" si="4">_xlfn.CONCAT(A3)</f>
        <v>Manish Arjun Dutta</v>
      </c>
      <c r="H3" s="14" t="s">
        <v>23</v>
      </c>
      <c r="I3" s="14" t="s">
        <v>73</v>
      </c>
    </row>
    <row r="4" spans="1:9" x14ac:dyDescent="0.35">
      <c r="A4" s="14" t="s">
        <v>166</v>
      </c>
      <c r="B4" s="14" t="str">
        <f t="shared" si="0"/>
        <v>Prabhu</v>
      </c>
      <c r="C4" s="14" t="str">
        <f t="shared" si="1"/>
        <v>Gupta</v>
      </c>
      <c r="D4" s="14" t="str">
        <f t="shared" si="2"/>
        <v>Sheti</v>
      </c>
      <c r="E4" s="14" t="str">
        <f t="shared" si="3"/>
        <v xml:space="preserve">Prabhu Gupta Sheti </v>
      </c>
      <c r="F4" s="14" t="str">
        <f t="shared" si="4"/>
        <v>Prabhu Gupta Sheti</v>
      </c>
      <c r="H4" s="14" t="s">
        <v>40</v>
      </c>
      <c r="I4" s="14" t="s">
        <v>99</v>
      </c>
    </row>
    <row r="5" spans="1:9" x14ac:dyDescent="0.35">
      <c r="H5" s="14" t="s">
        <v>7</v>
      </c>
      <c r="I5" s="14" t="s">
        <v>74</v>
      </c>
    </row>
    <row r="6" spans="1:9" x14ac:dyDescent="0.35">
      <c r="H6" s="14" t="s">
        <v>118</v>
      </c>
      <c r="I6" s="14" t="s">
        <v>116</v>
      </c>
    </row>
    <row r="7" spans="1:9" x14ac:dyDescent="0.35">
      <c r="H7" s="14" t="s">
        <v>25</v>
      </c>
      <c r="I7" s="14" t="s">
        <v>117</v>
      </c>
    </row>
    <row r="9" spans="1:9" x14ac:dyDescent="0.35">
      <c r="A9" s="14" t="s">
        <v>17</v>
      </c>
      <c r="B9" s="14" t="s">
        <v>17</v>
      </c>
      <c r="C9" s="14" t="s">
        <v>76</v>
      </c>
      <c r="D9" s="14" t="s">
        <v>24</v>
      </c>
    </row>
    <row r="10" spans="1:9" x14ac:dyDescent="0.35">
      <c r="A10" s="14" t="s">
        <v>15</v>
      </c>
      <c r="B10" s="14" t="s">
        <v>42</v>
      </c>
      <c r="C10" s="14" t="b">
        <f>EXACT(A10,B10)</f>
        <v>0</v>
      </c>
      <c r="D10" s="14" t="str">
        <f>A10&amp;""&amp;B10</f>
        <v>Akshay KumarAkshay kumar</v>
      </c>
    </row>
    <row r="11" spans="1:9" x14ac:dyDescent="0.35">
      <c r="A11" s="14" t="s">
        <v>43</v>
      </c>
      <c r="B11" s="14" t="s">
        <v>44</v>
      </c>
      <c r="C11" s="14" t="b">
        <f t="shared" ref="C11:C15" si="5">EXACT(A11,B11)</f>
        <v>0</v>
      </c>
      <c r="D11" s="14" t="str">
        <f t="shared" ref="D11:D15" si="6">A11&amp;""&amp;B11</f>
        <v>Sunil ShettySunil shetty</v>
      </c>
    </row>
    <row r="12" spans="1:9" x14ac:dyDescent="0.35">
      <c r="A12" s="14" t="s">
        <v>45</v>
      </c>
      <c r="B12" s="14" t="s">
        <v>45</v>
      </c>
      <c r="C12" s="14" t="b">
        <f t="shared" si="5"/>
        <v>1</v>
      </c>
      <c r="D12" s="14" t="str">
        <f t="shared" si="6"/>
        <v>Sunny DeolSunny Deol</v>
      </c>
      <c r="F12" s="15" t="s">
        <v>168</v>
      </c>
      <c r="G12" s="15" t="s">
        <v>143</v>
      </c>
    </row>
    <row r="13" spans="1:9" x14ac:dyDescent="0.35">
      <c r="A13" s="14" t="s">
        <v>46</v>
      </c>
      <c r="B13" s="14" t="s">
        <v>46</v>
      </c>
      <c r="C13" s="14" t="b">
        <f t="shared" si="5"/>
        <v>1</v>
      </c>
      <c r="D13" s="14" t="str">
        <f t="shared" si="6"/>
        <v>Allu ArjunAllu Arjun</v>
      </c>
      <c r="F13" s="15" t="s">
        <v>167</v>
      </c>
      <c r="G13" s="15" t="str">
        <f ca="1">_xlfn.FORMULATEXT(B2)</f>
        <v>=LEFT(A2,6)</v>
      </c>
    </row>
    <row r="14" spans="1:9" x14ac:dyDescent="0.35">
      <c r="A14" s="14" t="s">
        <v>47</v>
      </c>
      <c r="B14" s="14" t="s">
        <v>48</v>
      </c>
      <c r="C14" s="14" t="b">
        <f t="shared" si="5"/>
        <v>0</v>
      </c>
      <c r="D14" s="14" t="str">
        <f t="shared" si="6"/>
        <v>Imran KhanImran khan</v>
      </c>
      <c r="F14" s="15" t="s">
        <v>169</v>
      </c>
      <c r="G14" s="15" t="str">
        <f ca="1">_xlfn.FORMULATEXT(C2)</f>
        <v>=MID(A2,8,5)</v>
      </c>
    </row>
    <row r="15" spans="1:9" x14ac:dyDescent="0.35">
      <c r="A15" s="14" t="s">
        <v>31</v>
      </c>
      <c r="B15" s="14" t="s">
        <v>31</v>
      </c>
      <c r="C15" s="14" t="b">
        <f t="shared" si="5"/>
        <v>1</v>
      </c>
      <c r="D15" s="14" t="str">
        <f t="shared" si="6"/>
        <v>Amir KhanAmir Khan</v>
      </c>
      <c r="F15" s="15" t="s">
        <v>170</v>
      </c>
      <c r="G15" s="15" t="str">
        <f ca="1">_xlfn.FORMULATEXT(D2)</f>
        <v>=RIGHT(A2,5)</v>
      </c>
    </row>
    <row r="16" spans="1:9" x14ac:dyDescent="0.35">
      <c r="F16" s="15" t="s">
        <v>171</v>
      </c>
      <c r="G16" s="15" t="str">
        <f ca="1">_xlfn.FORMULATEXT(E2)</f>
        <v>=A2&amp;" "</v>
      </c>
    </row>
    <row r="17" spans="1:10" x14ac:dyDescent="0.35">
      <c r="F17" s="15" t="s">
        <v>172</v>
      </c>
      <c r="G17" s="15" t="str">
        <f ca="1">_xlfn.FORMULATEXT(F2)</f>
        <v>=CONCAT(A2)</v>
      </c>
    </row>
    <row r="19" spans="1:10" x14ac:dyDescent="0.35">
      <c r="A19" s="15" t="s">
        <v>49</v>
      </c>
      <c r="B19" s="15" t="s">
        <v>50</v>
      </c>
      <c r="C19" s="15" t="s">
        <v>51</v>
      </c>
      <c r="D19" s="15" t="s">
        <v>52</v>
      </c>
      <c r="E19" s="15" t="s">
        <v>53</v>
      </c>
    </row>
    <row r="20" spans="1:10" x14ac:dyDescent="0.35">
      <c r="A20" s="15" t="s">
        <v>54</v>
      </c>
      <c r="B20" s="15" t="s">
        <v>55</v>
      </c>
      <c r="C20" s="15" t="s">
        <v>56</v>
      </c>
      <c r="D20" s="15" t="s">
        <v>57</v>
      </c>
      <c r="E20" s="15">
        <v>560200</v>
      </c>
      <c r="I20" s="15" t="s">
        <v>168</v>
      </c>
      <c r="J20" s="15" t="s">
        <v>143</v>
      </c>
    </row>
    <row r="21" spans="1:10" x14ac:dyDescent="0.35">
      <c r="A21" s="15" t="s">
        <v>58</v>
      </c>
      <c r="B21" s="15" t="s">
        <v>59</v>
      </c>
      <c r="C21" s="15" t="s">
        <v>56</v>
      </c>
      <c r="D21" s="15" t="s">
        <v>57</v>
      </c>
      <c r="E21" s="15">
        <v>560100</v>
      </c>
    </row>
    <row r="23" spans="1:10" x14ac:dyDescent="0.35">
      <c r="A23" s="15" t="s">
        <v>77</v>
      </c>
    </row>
    <row r="24" spans="1:10" x14ac:dyDescent="0.35">
      <c r="A24" s="15" t="s">
        <v>25</v>
      </c>
    </row>
    <row r="25" spans="1:10" x14ac:dyDescent="0.35">
      <c r="A25" s="16"/>
      <c r="B25" s="16"/>
      <c r="C25" s="16"/>
    </row>
    <row r="28" spans="1:10" x14ac:dyDescent="0.35">
      <c r="A28" s="15" t="s">
        <v>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E61E-9485-43E0-9A97-F4034878EF83}">
  <dimension ref="A1:J38"/>
  <sheetViews>
    <sheetView showGridLines="0" topLeftCell="C1" zoomScale="110" workbookViewId="0">
      <selection activeCell="F37" sqref="F37:F38"/>
    </sheetView>
  </sheetViews>
  <sheetFormatPr defaultRowHeight="20.399999999999999" x14ac:dyDescent="0.35"/>
  <cols>
    <col min="1" max="1" width="13.796875" bestFit="1" customWidth="1"/>
    <col min="2" max="2" width="26.3984375" bestFit="1" customWidth="1"/>
    <col min="3" max="3" width="4.59765625" customWidth="1"/>
    <col min="4" max="4" width="12.796875" bestFit="1" customWidth="1"/>
    <col min="5" max="5" width="19.46484375" bestFit="1" customWidth="1"/>
    <col min="6" max="6" width="11" customWidth="1"/>
    <col min="7" max="7" width="13" bestFit="1" customWidth="1"/>
    <col min="8" max="8" width="15.53125" bestFit="1" customWidth="1"/>
  </cols>
  <sheetData>
    <row r="1" spans="1:10" x14ac:dyDescent="0.35">
      <c r="A1" s="2" t="s">
        <v>114</v>
      </c>
      <c r="B1" s="2" t="s">
        <v>18</v>
      </c>
      <c r="D1" s="20" t="s">
        <v>0</v>
      </c>
      <c r="E1" s="20"/>
    </row>
    <row r="2" spans="1:10" x14ac:dyDescent="0.35">
      <c r="A2" s="2" t="s">
        <v>0</v>
      </c>
      <c r="B2" s="2" t="s">
        <v>79</v>
      </c>
      <c r="D2" s="1" t="s">
        <v>1</v>
      </c>
      <c r="E2" s="1" t="s">
        <v>2</v>
      </c>
      <c r="G2" t="s">
        <v>3</v>
      </c>
    </row>
    <row r="3" spans="1:10" x14ac:dyDescent="0.35">
      <c r="A3" s="2" t="s">
        <v>4</v>
      </c>
      <c r="B3" s="2" t="s">
        <v>112</v>
      </c>
      <c r="D3" s="2" t="s">
        <v>91</v>
      </c>
      <c r="E3" s="2" t="str">
        <f>REPLACE(D3,1,5,"")</f>
        <v xml:space="preserve"> 2023-001</v>
      </c>
      <c r="G3" s="2" t="s">
        <v>95</v>
      </c>
    </row>
    <row r="4" spans="1:10" x14ac:dyDescent="0.35">
      <c r="A4" s="2" t="s">
        <v>5</v>
      </c>
      <c r="B4" s="2" t="s">
        <v>113</v>
      </c>
      <c r="D4" s="2" t="s">
        <v>92</v>
      </c>
      <c r="E4" s="2" t="str">
        <f t="shared" ref="E4:E6" si="0">REPLACE(D4,1,5,"")</f>
        <v xml:space="preserve"> 2023-002</v>
      </c>
      <c r="G4" s="2" t="s">
        <v>96</v>
      </c>
    </row>
    <row r="5" spans="1:10" x14ac:dyDescent="0.35">
      <c r="A5" s="2" t="s">
        <v>6</v>
      </c>
      <c r="B5" s="2" t="s">
        <v>109</v>
      </c>
      <c r="D5" s="2" t="s">
        <v>93</v>
      </c>
      <c r="E5" s="2" t="str">
        <f t="shared" si="0"/>
        <v xml:space="preserve"> 2023-003</v>
      </c>
      <c r="G5" s="2" t="s">
        <v>97</v>
      </c>
    </row>
    <row r="6" spans="1:10" x14ac:dyDescent="0.35">
      <c r="D6" s="2" t="s">
        <v>94</v>
      </c>
      <c r="E6" s="2" t="str">
        <f t="shared" si="0"/>
        <v xml:space="preserve"> 2023-004</v>
      </c>
      <c r="G6" s="2" t="s">
        <v>98</v>
      </c>
    </row>
    <row r="7" spans="1:10" x14ac:dyDescent="0.35">
      <c r="J7" s="4"/>
    </row>
    <row r="9" spans="1:10" x14ac:dyDescent="0.35">
      <c r="D9" s="20" t="s">
        <v>4</v>
      </c>
      <c r="E9" s="20"/>
    </row>
    <row r="10" spans="1:10" x14ac:dyDescent="0.35">
      <c r="D10" s="2" t="s">
        <v>1</v>
      </c>
      <c r="E10" s="2" t="s">
        <v>2</v>
      </c>
      <c r="G10" s="2" t="s">
        <v>3</v>
      </c>
    </row>
    <row r="11" spans="1:10" x14ac:dyDescent="0.35">
      <c r="B11" t="str">
        <f>REPLACE(D11,1,10,"")</f>
        <v/>
      </c>
      <c r="D11" s="2" t="s">
        <v>8</v>
      </c>
      <c r="E11" s="2" t="str">
        <f>SUBSTITUTE(D11,"##Money###","Money")</f>
        <v>Money</v>
      </c>
      <c r="G11" s="2" t="s">
        <v>9</v>
      </c>
    </row>
    <row r="12" spans="1:10" x14ac:dyDescent="0.35">
      <c r="D12" s="2" t="s">
        <v>10</v>
      </c>
      <c r="E12" s="2" t="str">
        <f>SUBSTITUTE(D12,"#Ak#shay###","Akshay")</f>
        <v>Akshay</v>
      </c>
      <c r="G12" s="2" t="s">
        <v>11</v>
      </c>
    </row>
    <row r="15" spans="1:10" ht="30" x14ac:dyDescent="0.5">
      <c r="D15" s="20" t="s">
        <v>108</v>
      </c>
      <c r="E15" s="20"/>
      <c r="F15" s="20"/>
    </row>
    <row r="16" spans="1:10" x14ac:dyDescent="0.35">
      <c r="D16" s="2" t="s">
        <v>12</v>
      </c>
      <c r="E16" s="2" t="s">
        <v>111</v>
      </c>
      <c r="F16" s="2" t="s">
        <v>6</v>
      </c>
    </row>
    <row r="17" spans="4:6" x14ac:dyDescent="0.35">
      <c r="D17" s="2" t="s">
        <v>11</v>
      </c>
      <c r="E17" s="2">
        <f>FIND("",D17)</f>
        <v>1</v>
      </c>
      <c r="F17" s="2">
        <f>SEARCH("",D17)</f>
        <v>1</v>
      </c>
    </row>
    <row r="18" spans="4:6" x14ac:dyDescent="0.35">
      <c r="D18" s="2" t="s">
        <v>13</v>
      </c>
      <c r="E18" s="2">
        <f>FIND("",D18)</f>
        <v>1</v>
      </c>
      <c r="F18" s="2">
        <f>SEARCH("",D18)</f>
        <v>1</v>
      </c>
    </row>
    <row r="20" spans="4:6" x14ac:dyDescent="0.35">
      <c r="D20" s="20" t="s">
        <v>14</v>
      </c>
      <c r="E20" s="20"/>
      <c r="F20" s="20"/>
    </row>
    <row r="21" spans="4:6" x14ac:dyDescent="0.35">
      <c r="D21" s="2" t="s">
        <v>12</v>
      </c>
      <c r="E21" s="5" t="s">
        <v>5</v>
      </c>
      <c r="F21" s="2" t="s">
        <v>6</v>
      </c>
    </row>
    <row r="22" spans="4:6" x14ac:dyDescent="0.35">
      <c r="D22" s="2" t="s">
        <v>15</v>
      </c>
      <c r="E22" s="2">
        <f>FIND("",D22,FIND("",D22)+1)</f>
        <v>2</v>
      </c>
      <c r="F22" s="2">
        <f>SEARCH("",D17)</f>
        <v>1</v>
      </c>
    </row>
    <row r="23" spans="4:6" x14ac:dyDescent="0.35">
      <c r="D23" s="2" t="s">
        <v>16</v>
      </c>
      <c r="E23" s="2">
        <f>FIND("",D23,FIND("",D23)+1)</f>
        <v>2</v>
      </c>
      <c r="F23" s="2">
        <f>SEARCH("",D17)</f>
        <v>1</v>
      </c>
    </row>
    <row r="34" spans="4:6" x14ac:dyDescent="0.35">
      <c r="D34" s="20" t="s">
        <v>115</v>
      </c>
      <c r="E34" s="20"/>
      <c r="F34" s="20"/>
    </row>
    <row r="35" spans="4:6" x14ac:dyDescent="0.35">
      <c r="D35" s="2" t="s">
        <v>12</v>
      </c>
      <c r="E35" s="2" t="s">
        <v>41</v>
      </c>
      <c r="F35" s="2"/>
    </row>
    <row r="36" spans="4:6" x14ac:dyDescent="0.35">
      <c r="D36" s="2"/>
      <c r="E36" s="2"/>
      <c r="F36" s="2"/>
    </row>
    <row r="37" spans="4:6" x14ac:dyDescent="0.35">
      <c r="D37" s="2" t="s">
        <v>5</v>
      </c>
      <c r="E37" s="2">
        <f>FIND("",E35,FIND("",E35)+1)</f>
        <v>2</v>
      </c>
      <c r="F37" s="2" t="str">
        <f ca="1">_xlfn.FORMULATEXT(E37)</f>
        <v>=FIND("",E35,FIND("",E35)+1)</v>
      </c>
    </row>
    <row r="38" spans="4:6" x14ac:dyDescent="0.35">
      <c r="D38" s="2" t="s">
        <v>6</v>
      </c>
      <c r="E38" s="2">
        <f>SEARCH("",E35,FIND("",E35)+1)</f>
        <v>2</v>
      </c>
      <c r="F38" s="2" t="str">
        <f ca="1">_xlfn.FORMULATEXT(E38)</f>
        <v>=SEARCH("",E35,FIND("",E35)+1)</v>
      </c>
    </row>
  </sheetData>
  <mergeCells count="5">
    <mergeCell ref="D1:E1"/>
    <mergeCell ref="D9:E9"/>
    <mergeCell ref="D15:F15"/>
    <mergeCell ref="D20:F20"/>
    <mergeCell ref="D34:F34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D1AB-045B-46B4-BEBC-ECD74F08DD8B}">
  <dimension ref="A2:I19"/>
  <sheetViews>
    <sheetView tabSelected="1" topLeftCell="A7" workbookViewId="0">
      <selection activeCell="H14" sqref="H14:H17"/>
    </sheetView>
  </sheetViews>
  <sheetFormatPr defaultRowHeight="20.399999999999999" x14ac:dyDescent="0.35"/>
  <cols>
    <col min="2" max="2" width="17.9296875" bestFit="1" customWidth="1"/>
    <col min="3" max="3" width="19.53125" bestFit="1" customWidth="1"/>
    <col min="4" max="4" width="19.53125" customWidth="1"/>
    <col min="5" max="5" width="19.33203125" bestFit="1" customWidth="1"/>
    <col min="6" max="6" width="9.1328125" customWidth="1"/>
    <col min="7" max="7" width="17.9296875" bestFit="1" customWidth="1"/>
    <col min="8" max="8" width="13.1328125" style="7" customWidth="1"/>
    <col min="9" max="9" width="17.9296875" style="7" bestFit="1" customWidth="1"/>
    <col min="13" max="13" width="14.33203125" bestFit="1" customWidth="1"/>
    <col min="18" max="18" width="33.19921875" bestFit="1" customWidth="1"/>
  </cols>
  <sheetData>
    <row r="2" spans="1:8" x14ac:dyDescent="0.35">
      <c r="A2" s="9"/>
      <c r="B2" s="9" t="s">
        <v>73</v>
      </c>
      <c r="C2" s="9"/>
    </row>
    <row r="3" spans="1:8" x14ac:dyDescent="0.35">
      <c r="A3" s="10" t="s">
        <v>17</v>
      </c>
      <c r="B3" s="6" t="s">
        <v>137</v>
      </c>
      <c r="C3" s="10" t="s">
        <v>75</v>
      </c>
      <c r="E3" s="10" t="s">
        <v>17</v>
      </c>
      <c r="F3" s="10" t="s">
        <v>73</v>
      </c>
      <c r="G3" s="10" t="s">
        <v>74</v>
      </c>
    </row>
    <row r="4" spans="1:8" x14ac:dyDescent="0.35">
      <c r="A4" s="2" t="s">
        <v>103</v>
      </c>
      <c r="B4" s="2" t="str">
        <f>LEFT(B3,6)</f>
        <v>Vamshi</v>
      </c>
      <c r="C4" s="2" t="str">
        <f ca="1">_xlfn.FORMULATEXT(B4)</f>
        <v>=LEFT(B3,6)</v>
      </c>
      <c r="E4" s="2" t="s">
        <v>70</v>
      </c>
      <c r="F4" s="2" t="str">
        <f>LEFT(E4,6)</f>
        <v>Naveen</v>
      </c>
      <c r="G4" s="2" t="str">
        <f>RIGHT(E4,5)</f>
        <v>Kumar</v>
      </c>
    </row>
    <row r="5" spans="1:8" x14ac:dyDescent="0.35">
      <c r="A5" s="2" t="s">
        <v>102</v>
      </c>
      <c r="B5" s="2">
        <f>FIND("",B3)</f>
        <v>1</v>
      </c>
      <c r="C5" s="2" t="str">
        <f ca="1">_xlfn.FORMULATEXT(B5)</f>
        <v>=FIND("",B3)</v>
      </c>
      <c r="E5" s="2" t="s">
        <v>142</v>
      </c>
      <c r="F5" s="2" t="str">
        <f t="shared" ref="F5:F6" si="0">LEFT(E5,6)</f>
        <v xml:space="preserve">Manoj </v>
      </c>
      <c r="G5" s="2" t="str">
        <f>RIGHT(E5,3)</f>
        <v>Rao</v>
      </c>
    </row>
    <row r="6" spans="1:8" x14ac:dyDescent="0.35">
      <c r="A6" s="2" t="s">
        <v>71</v>
      </c>
      <c r="B6" s="2" t="str">
        <f>TRIM(B3)</f>
        <v>Vamshi Srinivas</v>
      </c>
      <c r="C6" s="2" t="str">
        <f ca="1">_xlfn.FORMULATEXT(B6)</f>
        <v>=TRIM(B3)</v>
      </c>
      <c r="E6" s="2" t="s">
        <v>141</v>
      </c>
      <c r="F6" s="2" t="str">
        <f>LEFT(E6,4)</f>
        <v>Uday</v>
      </c>
      <c r="G6" s="2" t="str">
        <f>RIGHT(E6,6)</f>
        <v>Sharma</v>
      </c>
    </row>
    <row r="7" spans="1:8" x14ac:dyDescent="0.35">
      <c r="A7" s="2" t="s">
        <v>18</v>
      </c>
      <c r="B7" s="2" t="str">
        <f>LEFT(B3,FIND(" ",B3)-1)</f>
        <v>Vamshi</v>
      </c>
      <c r="C7" s="2" t="str">
        <f ca="1">_xlfn.FORMULATEXT(B7)</f>
        <v>=LEFT(B3,FIND(" ",B3)-1)</v>
      </c>
    </row>
    <row r="11" spans="1:8" x14ac:dyDescent="0.35">
      <c r="A11" s="9"/>
      <c r="B11" s="9" t="s">
        <v>74</v>
      </c>
      <c r="C11" s="9"/>
    </row>
    <row r="12" spans="1:8" x14ac:dyDescent="0.35">
      <c r="A12" s="10" t="s">
        <v>17</v>
      </c>
      <c r="B12" s="6" t="s">
        <v>138</v>
      </c>
      <c r="C12" s="10" t="s">
        <v>75</v>
      </c>
      <c r="F12" s="11"/>
      <c r="G12" s="11" t="s">
        <v>99</v>
      </c>
      <c r="H12" s="9"/>
    </row>
    <row r="13" spans="1:8" x14ac:dyDescent="0.35">
      <c r="A13" s="2" t="s">
        <v>7</v>
      </c>
      <c r="B13" s="2" t="str">
        <f>RIGHT(B12,5)</f>
        <v>Kumar</v>
      </c>
      <c r="C13" s="2" t="str">
        <f ca="1">_xlfn.FORMULATEXT(B13)</f>
        <v>=RIGHT(B12,5)</v>
      </c>
      <c r="F13" s="12" t="s">
        <v>17</v>
      </c>
      <c r="G13" s="13" t="s">
        <v>41</v>
      </c>
      <c r="H13" s="10" t="s">
        <v>75</v>
      </c>
    </row>
    <row r="14" spans="1:8" x14ac:dyDescent="0.35">
      <c r="A14" s="2" t="s">
        <v>22</v>
      </c>
      <c r="B14" s="2">
        <f>LEN(B12)</f>
        <v>11</v>
      </c>
      <c r="C14" s="2" t="str">
        <f t="shared" ref="C14:C17" ca="1" si="1">_xlfn.FORMULATEXT(B14)</f>
        <v>=LEN(B12)</v>
      </c>
      <c r="E14" t="s">
        <v>104</v>
      </c>
      <c r="F14" s="8" t="s">
        <v>40</v>
      </c>
      <c r="G14" s="8" t="str">
        <f>MID(G13,7,6)</f>
        <v xml:space="preserve"> Kumar</v>
      </c>
      <c r="H14" s="2" t="str">
        <f ca="1">_xlfn.FORMULATEXT(G14)</f>
        <v>=MID(G13,7,6)</v>
      </c>
    </row>
    <row r="15" spans="1:8" x14ac:dyDescent="0.35">
      <c r="A15" s="2" t="s">
        <v>102</v>
      </c>
      <c r="B15" s="2">
        <f>FIND(" ",B3)</f>
        <v>7</v>
      </c>
      <c r="C15" s="2" t="str">
        <f t="shared" ca="1" si="1"/>
        <v>=FIND(" ",B3)</v>
      </c>
      <c r="E15" t="s">
        <v>105</v>
      </c>
      <c r="F15" s="8" t="s">
        <v>100</v>
      </c>
      <c r="G15" s="21">
        <f>FIND(" ",G13)</f>
        <v>7</v>
      </c>
      <c r="H15" s="2" t="str">
        <f t="shared" ref="H15:H17" ca="1" si="2">_xlfn.FORMULATEXT(G15)</f>
        <v>=FIND(" ",G13)</v>
      </c>
    </row>
    <row r="16" spans="1:8" x14ac:dyDescent="0.35">
      <c r="A16" s="2" t="s">
        <v>72</v>
      </c>
      <c r="B16" s="2">
        <f>LEN(B12)-FIND("",B12)</f>
        <v>10</v>
      </c>
      <c r="C16" s="2" t="str">
        <f t="shared" ca="1" si="1"/>
        <v>=LEN(B12)-FIND("",B12)</v>
      </c>
      <c r="E16" t="s">
        <v>110</v>
      </c>
      <c r="F16" s="8" t="s">
        <v>101</v>
      </c>
      <c r="G16" s="21">
        <f>FIND(" ",G13,FIND(" ",G13)+1)</f>
        <v>13</v>
      </c>
      <c r="H16" s="2" t="str">
        <f t="shared" ca="1" si="2"/>
        <v>=FIND(" ",G13,FIND(" ",G13)+1)</v>
      </c>
    </row>
    <row r="17" spans="1:8" x14ac:dyDescent="0.35">
      <c r="A17" s="2" t="s">
        <v>18</v>
      </c>
      <c r="B17" s="2" t="str">
        <f>RIGHT(B3,LEN(B3)-FIND(" ",B3))</f>
        <v>Srinivas</v>
      </c>
      <c r="C17" s="2" t="str">
        <f t="shared" ca="1" si="1"/>
        <v>=RIGHT(B3,LEN(B3)-FIND(" ",B3))</v>
      </c>
      <c r="E17" t="s">
        <v>106</v>
      </c>
      <c r="F17" s="8" t="s">
        <v>72</v>
      </c>
      <c r="G17" s="21">
        <f>13-7</f>
        <v>6</v>
      </c>
      <c r="H17" s="2" t="str">
        <f t="shared" ca="1" si="2"/>
        <v>=13-7</v>
      </c>
    </row>
    <row r="18" spans="1:8" x14ac:dyDescent="0.35">
      <c r="E18" t="s">
        <v>107</v>
      </c>
      <c r="F18" s="8" t="s">
        <v>18</v>
      </c>
      <c r="G18" s="8" t="str">
        <f>MID(C2,FIND(" ",G13)+1,FIND(" ",G13,FIND(" ",G13)+1)-FIND(" ",G13)-1)</f>
        <v/>
      </c>
      <c r="H18" s="2"/>
    </row>
    <row r="19" spans="1:8" x14ac:dyDescent="0.35">
      <c r="F19" s="7"/>
      <c r="G19" s="7"/>
      <c r="H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Lower-Upper-Proper-Len</vt:lpstr>
      <vt:lpstr>Informations</vt:lpstr>
      <vt:lpstr>Basic Text</vt:lpstr>
      <vt:lpstr>Text Functions</vt:lpstr>
      <vt:lpstr>Advance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 MOHAMMED</dc:creator>
  <cp:lastModifiedBy>Sagar Gowda</cp:lastModifiedBy>
  <dcterms:created xsi:type="dcterms:W3CDTF">2023-10-10T14:58:17Z</dcterms:created>
  <dcterms:modified xsi:type="dcterms:W3CDTF">2026-10-04T13:51:37Z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2023-10-10T15:08:37Z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180e4901-edf9-47a0-9756-059be2fb1cc1</vt:lpwstr>
  </property>
  <property fmtid="{D5CDD505-2E9C-101B-9397-08002B2CF9AE}" pid="7" name="MSIP_Label_defa4170-0d19-0005-0004-bc88714345d2_ActionId">
    <vt:lpwstr>337317e6-fcf2-4e1a-bd91-5f1c6d2f1af0</vt:lpwstr>
  </property>
  <property fmtid="{D5CDD505-2E9C-101B-9397-08002B2CF9AE}" pid="8" name="MSIP_Label_defa4170-0d19-0005-0004-bc88714345d2_ContentBits">
    <vt:lpwstr>0</vt:lpwstr>
  </property>
</Properties>
</file>