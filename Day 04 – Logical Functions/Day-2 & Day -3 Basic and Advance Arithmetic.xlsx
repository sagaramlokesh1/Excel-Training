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A\self excel\"/>
    </mc:Choice>
  </mc:AlternateContent>
  <xr:revisionPtr revIDLastSave="0" documentId="8_{990876FE-A381-4069-816B-38851EBC8E33}" xr6:coauthVersionLast="47" xr6:coauthVersionMax="47" xr10:uidLastSave="{00000000-0000-0000-0000-000000000000}"/>
  <bookViews>
    <workbookView xWindow="-108" yWindow="-108" windowWidth="23256" windowHeight="12456" firstSheet="12" activeTab="17" xr2:uid="{FBBEB0D5-0390-4104-9C77-D004C3E46EC2}"/>
  </bookViews>
  <sheets>
    <sheet name="Demo" sheetId="1" r:id="rId1"/>
    <sheet name="Absolute &amp; Reference" sheetId="2" r:id="rId2"/>
    <sheet name="Mixed reference" sheetId="3" r:id="rId3"/>
    <sheet name="Basic aggregate" sheetId="4" r:id="rId4"/>
    <sheet name="Basic Arithmetic" sheetId="5" r:id="rId5"/>
    <sheet name="Arithmetic Task" sheetId="17" r:id="rId6"/>
    <sheet name="Countifs &amp; Sumifs with Freeze" sheetId="19" r:id="rId7"/>
    <sheet name="Sumifs, Counifs,averageifs etc" sheetId="6" r:id="rId8"/>
    <sheet name="Rank" sheetId="7" r:id="rId9"/>
    <sheet name="Round" sheetId="8" r:id="rId10"/>
    <sheet name="Basic if,Nested if,ifs" sheetId="15" r:id="rId11"/>
    <sheet name="IF- or - and" sheetId="9" r:id="rId12"/>
    <sheet name="logical Task" sheetId="16" r:id="rId13"/>
    <sheet name="Basic Date functions" sheetId="10" r:id="rId14"/>
    <sheet name="Definitions" sheetId="11" r:id="rId15"/>
    <sheet name="Advance Date functions" sheetId="12" r:id="rId16"/>
    <sheet name="Task" sheetId="13" r:id="rId17"/>
    <sheet name="Minif and Maxif &amp; ifs" sheetId="20" r:id="rId18"/>
  </sheets>
  <definedNames>
    <definedName name="_xlnm._FilterDatabase" localSheetId="4" hidden="1">'Basic Arithmetic'!$A$1:$D$21</definedName>
    <definedName name="_xlnm._FilterDatabase" localSheetId="6" hidden="1">'Countifs &amp; Sumifs with Freeze'!$A$1:$D$21</definedName>
    <definedName name="_xlnm._FilterDatabase" localSheetId="17" hidden="1">'Minif and Maxif &amp; ifs'!$A$1:$D$20</definedName>
    <definedName name="_xlnm._FilterDatabase" localSheetId="7" hidden="1">'Sumifs, Counifs,averageifs etc'!$A$1:$D$21</definedName>
    <definedName name="Aug_HD">'Advance Date functions'!$J$11</definedName>
    <definedName name="City">'Sumifs, Counifs,averageifs etc'!$A$1:$A$20</definedName>
    <definedName name="Department">'Sumifs, Counifs,averageifs etc'!$D$1:$D$20</definedName>
    <definedName name="Jan_HD">'Advance Date functions'!$J$5:$J$7</definedName>
    <definedName name="Region">'Sumifs, Counifs,averageifs etc'!$B$1:$B$20</definedName>
    <definedName name="Salary">'Sumifs, Counifs,averageifs etc'!$C$1:$C$20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0" l="1"/>
  <c r="H13" i="20"/>
  <c r="H6" i="20"/>
  <c r="H5" i="20"/>
  <c r="N3" i="12"/>
  <c r="Q3" i="12" s="1"/>
  <c r="K11" i="12"/>
  <c r="K6" i="12"/>
  <c r="K7" i="12"/>
  <c r="K5" i="12"/>
  <c r="G22" i="12"/>
  <c r="G21" i="12"/>
  <c r="F22" i="12"/>
  <c r="F21" i="12"/>
  <c r="G13" i="12"/>
  <c r="F13" i="12"/>
  <c r="E12" i="12"/>
  <c r="F12" i="12" s="1"/>
  <c r="E13" i="12"/>
  <c r="F5" i="12"/>
  <c r="E4" i="12"/>
  <c r="F4" i="12" s="1"/>
  <c r="E5" i="12"/>
  <c r="G5" i="12" s="1"/>
  <c r="C13" i="11"/>
  <c r="C14" i="11"/>
  <c r="C15" i="11"/>
  <c r="C16" i="11"/>
  <c r="C17" i="11"/>
  <c r="C18" i="11"/>
  <c r="C12" i="11"/>
  <c r="F9" i="10"/>
  <c r="F10" i="10" s="1"/>
  <c r="F2" i="10"/>
  <c r="F8" i="10" s="1"/>
  <c r="F3" i="10"/>
  <c r="F4" i="10" s="1"/>
  <c r="G18" i="16"/>
  <c r="G19" i="16"/>
  <c r="G20" i="16"/>
  <c r="G21" i="16"/>
  <c r="G22" i="16"/>
  <c r="G23" i="16"/>
  <c r="G24" i="16"/>
  <c r="G25" i="16"/>
  <c r="G17" i="16"/>
  <c r="G4" i="16"/>
  <c r="G5" i="16"/>
  <c r="G6" i="16"/>
  <c r="G7" i="16"/>
  <c r="G8" i="16"/>
  <c r="G9" i="16"/>
  <c r="G10" i="16"/>
  <c r="G11" i="16"/>
  <c r="G12" i="16"/>
  <c r="F34" i="9"/>
  <c r="F35" i="9"/>
  <c r="F36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19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D22" i="9"/>
  <c r="D20" i="9"/>
  <c r="D21" i="9"/>
  <c r="D23" i="9"/>
  <c r="D24" i="9"/>
  <c r="D25" i="9"/>
  <c r="D26" i="9"/>
  <c r="D27" i="9"/>
  <c r="D28" i="9"/>
  <c r="D29" i="9"/>
  <c r="D30" i="9"/>
  <c r="D31" i="9"/>
  <c r="D32" i="9"/>
  <c r="D33" i="9"/>
  <c r="D19" i="9"/>
  <c r="E4" i="9"/>
  <c r="E5" i="9"/>
  <c r="E6" i="9"/>
  <c r="E7" i="9"/>
  <c r="E8" i="9"/>
  <c r="E9" i="9"/>
  <c r="E10" i="9"/>
  <c r="E11" i="9"/>
  <c r="E12" i="9"/>
  <c r="E13" i="9"/>
  <c r="E3" i="9"/>
  <c r="D4" i="9"/>
  <c r="D5" i="9"/>
  <c r="D6" i="9"/>
  <c r="D7" i="9"/>
  <c r="D8" i="9"/>
  <c r="D9" i="9"/>
  <c r="D10" i="9"/>
  <c r="D11" i="9"/>
  <c r="D12" i="9"/>
  <c r="D13" i="9"/>
  <c r="D3" i="9"/>
  <c r="O4" i="15" a="1"/>
  <c r="O4" i="15" s="1"/>
  <c r="O5" i="15" a="1"/>
  <c r="O5" i="15"/>
  <c r="O6" i="15" a="1"/>
  <c r="O6" i="15" s="1"/>
  <c r="O7" i="15" a="1"/>
  <c r="O7" i="15"/>
  <c r="O8" i="15" a="1"/>
  <c r="O8" i="15" s="1"/>
  <c r="O9" i="15" a="1"/>
  <c r="O9" i="15"/>
  <c r="O10" i="15" a="1"/>
  <c r="O10" i="15" s="1"/>
  <c r="O11" i="15" a="1"/>
  <c r="O11" i="15"/>
  <c r="O12" i="15" a="1"/>
  <c r="O12" i="15" s="1"/>
  <c r="O13" i="15" a="1"/>
  <c r="O13" i="15"/>
  <c r="O14" i="15" a="1"/>
  <c r="O14" i="15" s="1"/>
  <c r="O15" i="15" a="1"/>
  <c r="O15" i="15"/>
  <c r="O16" i="15" a="1"/>
  <c r="O16" i="15" s="1"/>
  <c r="O17" i="15" a="1"/>
  <c r="O17" i="15"/>
  <c r="O18" i="15" a="1"/>
  <c r="O18" i="15" s="1"/>
  <c r="O19" i="15" a="1"/>
  <c r="O19" i="15"/>
  <c r="O3" i="15" a="1"/>
  <c r="O3" i="15" s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3" i="15"/>
  <c r="I3" i="8"/>
  <c r="I4" i="8"/>
  <c r="I5" i="8"/>
  <c r="I6" i="8"/>
  <c r="I7" i="8"/>
  <c r="H3" i="8"/>
  <c r="H4" i="8"/>
  <c r="H5" i="8"/>
  <c r="H6" i="8"/>
  <c r="H7" i="8"/>
  <c r="G7" i="8"/>
  <c r="G3" i="8"/>
  <c r="G4" i="8"/>
  <c r="G5" i="8"/>
  <c r="G6" i="8"/>
  <c r="I2" i="8"/>
  <c r="H2" i="8"/>
  <c r="G2" i="8"/>
  <c r="B15" i="8"/>
  <c r="B16" i="8"/>
  <c r="B17" i="8"/>
  <c r="B18" i="8"/>
  <c r="B19" i="8"/>
  <c r="B20" i="8"/>
  <c r="B14" i="8"/>
  <c r="B10" i="8"/>
  <c r="B11" i="8"/>
  <c r="B9" i="8"/>
  <c r="B3" i="8"/>
  <c r="B4" i="8"/>
  <c r="B5" i="8"/>
  <c r="B2" i="8"/>
  <c r="I21" i="7"/>
  <c r="I20" i="7"/>
  <c r="I19" i="7"/>
  <c r="C16" i="7"/>
  <c r="C17" i="7"/>
  <c r="C18" i="7"/>
  <c r="C19" i="7"/>
  <c r="C20" i="7"/>
  <c r="C21" i="7"/>
  <c r="C22" i="7"/>
  <c r="C23" i="7"/>
  <c r="C24" i="7"/>
  <c r="C25" i="7"/>
  <c r="C15" i="7"/>
  <c r="C3" i="7"/>
  <c r="C4" i="7"/>
  <c r="C5" i="7"/>
  <c r="C6" i="7"/>
  <c r="C7" i="7"/>
  <c r="C8" i="7"/>
  <c r="C9" i="7"/>
  <c r="C2" i="7"/>
  <c r="U7" i="6"/>
  <c r="U8" i="6"/>
  <c r="U9" i="6"/>
  <c r="U10" i="6"/>
  <c r="U6" i="6"/>
  <c r="Q7" i="6"/>
  <c r="Q8" i="6"/>
  <c r="Q9" i="6"/>
  <c r="Q10" i="6"/>
  <c r="Q6" i="6"/>
  <c r="M7" i="6"/>
  <c r="M8" i="6"/>
  <c r="M9" i="6"/>
  <c r="M10" i="6"/>
  <c r="M6" i="6"/>
  <c r="J7" i="6"/>
  <c r="J8" i="6"/>
  <c r="J9" i="6"/>
  <c r="J10" i="6"/>
  <c r="J6" i="6"/>
  <c r="G7" i="6"/>
  <c r="G8" i="6"/>
  <c r="G9" i="6"/>
  <c r="G10" i="6"/>
  <c r="G6" i="6"/>
  <c r="G16" i="19"/>
  <c r="G17" i="19"/>
  <c r="G18" i="19"/>
  <c r="G19" i="19"/>
  <c r="G15" i="19"/>
  <c r="G6" i="19"/>
  <c r="G7" i="19"/>
  <c r="G8" i="19"/>
  <c r="G9" i="19"/>
  <c r="G5" i="19"/>
  <c r="G12" i="17"/>
  <c r="G15" i="17"/>
  <c r="K15" i="17"/>
  <c r="K12" i="17"/>
  <c r="C15" i="17"/>
  <c r="C12" i="17"/>
  <c r="H15" i="5"/>
  <c r="H11" i="5"/>
  <c r="H7" i="5"/>
  <c r="H3" i="5"/>
  <c r="G36" i="4"/>
  <c r="G37" i="4"/>
  <c r="G38" i="4"/>
  <c r="G39" i="4"/>
  <c r="G40" i="4"/>
  <c r="G35" i="4"/>
  <c r="F36" i="4"/>
  <c r="F37" i="4"/>
  <c r="F38" i="4"/>
  <c r="F39" i="4"/>
  <c r="F40" i="4"/>
  <c r="F35" i="4"/>
  <c r="C32" i="4"/>
  <c r="C30" i="4"/>
  <c r="C28" i="4"/>
  <c r="C26" i="4"/>
  <c r="K12" i="4"/>
  <c r="K11" i="4"/>
  <c r="J8" i="4"/>
  <c r="J7" i="4"/>
  <c r="J6" i="4"/>
  <c r="J5" i="4"/>
  <c r="J4" i="4"/>
  <c r="J3" i="4"/>
  <c r="D5" i="4"/>
  <c r="D4" i="4"/>
  <c r="D3" i="4"/>
  <c r="C18" i="3"/>
  <c r="D18" i="3"/>
  <c r="C19" i="3"/>
  <c r="D19" i="3"/>
  <c r="D17" i="3"/>
  <c r="C17" i="3"/>
  <c r="C4" i="3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6" i="3"/>
  <c r="D6" i="3"/>
  <c r="E6" i="3"/>
  <c r="F6" i="3"/>
  <c r="G6" i="3"/>
  <c r="H6" i="3"/>
  <c r="I6" i="3"/>
  <c r="J6" i="3"/>
  <c r="K6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D3" i="3"/>
  <c r="E3" i="3"/>
  <c r="F3" i="3"/>
  <c r="G3" i="3"/>
  <c r="H3" i="3"/>
  <c r="I3" i="3"/>
  <c r="J3" i="3"/>
  <c r="K3" i="3"/>
  <c r="C3" i="3"/>
  <c r="J13" i="2"/>
  <c r="J12" i="2"/>
  <c r="J11" i="2"/>
  <c r="K5" i="2"/>
  <c r="J5" i="2"/>
  <c r="D20" i="2"/>
  <c r="D19" i="2"/>
  <c r="D18" i="2"/>
  <c r="D17" i="2"/>
  <c r="D16" i="2"/>
  <c r="D15" i="2"/>
  <c r="D14" i="2"/>
  <c r="E4" i="2"/>
  <c r="E5" i="2"/>
  <c r="E6" i="2"/>
  <c r="E7" i="2"/>
  <c r="E8" i="2"/>
  <c r="E9" i="2"/>
  <c r="E3" i="2"/>
  <c r="D16" i="8"/>
  <c r="D15" i="8"/>
  <c r="I11" i="7"/>
  <c r="I13" i="7"/>
  <c r="I12" i="7"/>
  <c r="K7" i="15"/>
  <c r="G18" i="6"/>
  <c r="G17" i="6"/>
  <c r="G16" i="6"/>
  <c r="G15" i="6"/>
  <c r="G14" i="6"/>
  <c r="K18" i="17"/>
  <c r="A18" i="17"/>
  <c r="G18" i="17"/>
  <c r="E5" i="4"/>
  <c r="E4" i="4"/>
  <c r="E3" i="4"/>
  <c r="G13" i="9"/>
  <c r="D22" i="15"/>
  <c r="G8" i="9"/>
  <c r="G35" i="9"/>
  <c r="Q8" i="15"/>
  <c r="G27" i="9"/>
  <c r="D21" i="15"/>
  <c r="R12" i="12" l="1"/>
  <c r="Q12" i="12"/>
  <c r="P12" i="12"/>
  <c r="G12" i="12"/>
  <c r="G4" i="12"/>
  <c r="F19" i="10"/>
  <c r="F18" i="10"/>
  <c r="F13" i="10"/>
  <c r="F12" i="10"/>
  <c r="F11" i="10"/>
  <c r="F6" i="10"/>
  <c r="F5" i="10"/>
  <c r="D14" i="8"/>
  <c r="F16" i="10" l="1"/>
  <c r="F17" i="10"/>
  <c r="F14" i="10"/>
  <c r="F15" i="10"/>
  <c r="F7" i="10"/>
  <c r="O4" i="4"/>
  <c r="Q4" i="4" s="1"/>
  <c r="O5" i="4"/>
  <c r="O6" i="4"/>
  <c r="Q6" i="4" s="1"/>
  <c r="Q5" i="4"/>
  <c r="P4" i="4"/>
  <c r="P5" i="4"/>
  <c r="P6" i="4"/>
  <c r="P3" i="4"/>
  <c r="G31" i="12" l="1"/>
  <c r="K3" i="17"/>
  <c r="C3" i="17"/>
  <c r="G3" i="17"/>
  <c r="C5" i="13"/>
  <c r="D5" i="13" s="1"/>
  <c r="C6" i="13"/>
  <c r="D6" i="13" s="1"/>
  <c r="C7" i="13"/>
  <c r="D7" i="13" s="1"/>
  <c r="C8" i="13"/>
  <c r="D8" i="13" s="1"/>
  <c r="C9" i="13"/>
  <c r="D9" i="13" s="1"/>
  <c r="C10" i="13"/>
  <c r="D10" i="13" s="1"/>
  <c r="C11" i="13"/>
  <c r="D11" i="13" s="1"/>
  <c r="C12" i="13"/>
  <c r="D12" i="13" s="1"/>
  <c r="C13" i="13"/>
  <c r="D13" i="13" s="1"/>
  <c r="C14" i="13"/>
  <c r="D14" i="13" s="1"/>
  <c r="C15" i="13"/>
  <c r="D15" i="13" s="1"/>
  <c r="C16" i="13"/>
  <c r="D16" i="13" s="1"/>
  <c r="C4" i="13"/>
  <c r="D4" i="13" s="1"/>
  <c r="F31" i="12"/>
  <c r="N15" i="12"/>
  <c r="N14" i="12"/>
  <c r="N13" i="12"/>
  <c r="N12" i="12"/>
  <c r="Q5" i="12"/>
  <c r="Q4" i="12" l="1"/>
  <c r="O7" i="4"/>
  <c r="O3" i="4"/>
  <c r="Q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<sst xmlns="http://schemas.openxmlformats.org/spreadsheetml/2006/main" count="887" uniqueCount="361">
  <si>
    <t>Absolute References</t>
  </si>
  <si>
    <t>Absolute reference is when a reference has the dollar sign ($).</t>
  </si>
  <si>
    <t>It locks a reference in the formula.</t>
  </si>
  <si>
    <t>Add $ to the formula to use absolute references.</t>
  </si>
  <si>
    <t>The dollar sign has three different states:</t>
  </si>
  <si>
    <t>Absolute for column and row. The reference is absolutely locked.</t>
  </si>
  <si>
    <t>Example =$A$1</t>
  </si>
  <si>
    <t>Absolute for the column. The reference is locked to that column. The row remains relative.</t>
  </si>
  <si>
    <t>Example =$A1</t>
  </si>
  <si>
    <t>Absolute for the row. The reference is locked to that row. The column remains relative.</t>
  </si>
  <si>
    <t>Example =A$1</t>
  </si>
  <si>
    <t>Relative Reference</t>
  </si>
  <si>
    <t>Column Freeze or Lock</t>
  </si>
  <si>
    <t>Students</t>
  </si>
  <si>
    <t>Result 1</t>
  </si>
  <si>
    <t>Result 2</t>
  </si>
  <si>
    <t>Total Result</t>
  </si>
  <si>
    <t>Kiran</t>
  </si>
  <si>
    <t>Commision</t>
  </si>
  <si>
    <t>Krishna</t>
  </si>
  <si>
    <t>Employees</t>
  </si>
  <si>
    <t>Total Units</t>
  </si>
  <si>
    <t>Cost by 15%</t>
  </si>
  <si>
    <t>Cost by 35%</t>
  </si>
  <si>
    <t>Ajay</t>
  </si>
  <si>
    <t>Arun</t>
  </si>
  <si>
    <t>Bala</t>
  </si>
  <si>
    <t>Uday</t>
  </si>
  <si>
    <t>Row Freeze or Lock</t>
  </si>
  <si>
    <t>Chetan</t>
  </si>
  <si>
    <t>Multiply by</t>
  </si>
  <si>
    <t xml:space="preserve"> Absolute</t>
  </si>
  <si>
    <t>Cost</t>
  </si>
  <si>
    <t>Numbers</t>
  </si>
  <si>
    <t>Formulas</t>
  </si>
  <si>
    <t>Units</t>
  </si>
  <si>
    <t>Units Price</t>
  </si>
  <si>
    <t>Total Units Price</t>
  </si>
  <si>
    <t>Sum</t>
  </si>
  <si>
    <t>Average</t>
  </si>
  <si>
    <t>Count</t>
  </si>
  <si>
    <t>Counta</t>
  </si>
  <si>
    <t>Count blank</t>
  </si>
  <si>
    <t>Min</t>
  </si>
  <si>
    <t>Max</t>
  </si>
  <si>
    <t>Small</t>
  </si>
  <si>
    <t>Large</t>
  </si>
  <si>
    <t>City</t>
  </si>
  <si>
    <t>Region</t>
  </si>
  <si>
    <t>Salary</t>
  </si>
  <si>
    <t>Department</t>
  </si>
  <si>
    <t>Mumbai</t>
  </si>
  <si>
    <t>W</t>
  </si>
  <si>
    <t>Training</t>
  </si>
  <si>
    <t>Functions</t>
  </si>
  <si>
    <t>RESULT</t>
  </si>
  <si>
    <t>Delhi</t>
  </si>
  <si>
    <t>N</t>
  </si>
  <si>
    <t>Accounts</t>
  </si>
  <si>
    <t>Q-1 Total Number of Employees from  Mumbai city</t>
  </si>
  <si>
    <t>Noida</t>
  </si>
  <si>
    <t>Marketing</t>
  </si>
  <si>
    <t>Chennai</t>
  </si>
  <si>
    <t>S</t>
  </si>
  <si>
    <t>R&amp;D</t>
  </si>
  <si>
    <t>Q-4 Total Salary of Mumbai city</t>
  </si>
  <si>
    <t>Cuttack</t>
  </si>
  <si>
    <t>E</t>
  </si>
  <si>
    <t>Kolkata</t>
  </si>
  <si>
    <t>Bangalore</t>
  </si>
  <si>
    <t>COUNTIF</t>
  </si>
  <si>
    <t>Mangalore</t>
  </si>
  <si>
    <t>Mysore</t>
  </si>
  <si>
    <t>SUMIF</t>
  </si>
  <si>
    <t>Minif</t>
  </si>
  <si>
    <t>Operation</t>
  </si>
  <si>
    <t>Maxif</t>
  </si>
  <si>
    <t>Pune</t>
  </si>
  <si>
    <t>Press</t>
  </si>
  <si>
    <t>Shift+Control+Enter</t>
  </si>
  <si>
    <t>&lt;2019</t>
  </si>
  <si>
    <t>Get the Count for each department based on the given region</t>
  </si>
  <si>
    <t>Get the Total Salary for each department based on the given region</t>
  </si>
  <si>
    <t>Get the Average Salary for each department based on the given region</t>
  </si>
  <si>
    <t>West</t>
  </si>
  <si>
    <t>North</t>
  </si>
  <si>
    <t>South</t>
  </si>
  <si>
    <t>East</t>
  </si>
  <si>
    <t>Get the Minimum Salary for each department based on the given region</t>
  </si>
  <si>
    <t>Get the Maximum Salary for each department based on the given region</t>
  </si>
  <si>
    <t>Rank</t>
  </si>
  <si>
    <t>Sales</t>
  </si>
  <si>
    <t>Result</t>
  </si>
  <si>
    <t>Data</t>
  </si>
  <si>
    <t>Mean(average)</t>
  </si>
  <si>
    <t>The mean represents the average value in a dataset</t>
  </si>
  <si>
    <t>Median</t>
  </si>
  <si>
    <t>The median represents the middle value in a dataset, when all of the values are arranged from smallest to largest.</t>
  </si>
  <si>
    <t>Mod formula</t>
  </si>
  <si>
    <t>Mode</t>
  </si>
  <si>
    <t>The mode represents the value that occurs most often in a dataset. Note that a dataset can have no mode, one mode, or multiple modes.</t>
  </si>
  <si>
    <t>Number</t>
  </si>
  <si>
    <t>Divisor</t>
  </si>
  <si>
    <t>The Excel MOD function returns the remainder of two numbers after division.  For example, MOD(10,3) = 1</t>
  </si>
  <si>
    <t>numbers</t>
  </si>
  <si>
    <t>ABS</t>
  </si>
  <si>
    <t>Round</t>
  </si>
  <si>
    <t>Round up</t>
  </si>
  <si>
    <t>Round Down</t>
  </si>
  <si>
    <t>Num</t>
  </si>
  <si>
    <t>Int</t>
  </si>
  <si>
    <t>Sign</t>
  </si>
  <si>
    <t>Names</t>
  </si>
  <si>
    <t>Score</t>
  </si>
  <si>
    <t>Kishore</t>
  </si>
  <si>
    <t>Kumar</t>
  </si>
  <si>
    <t>Abhay</t>
  </si>
  <si>
    <t>Ashy</t>
  </si>
  <si>
    <t>Imran</t>
  </si>
  <si>
    <t>Geeta</t>
  </si>
  <si>
    <t>Ram</t>
  </si>
  <si>
    <t>Sham</t>
  </si>
  <si>
    <t>Abhay and Kumar should be present in the list; others, should be absent</t>
  </si>
  <si>
    <t>formulas</t>
  </si>
  <si>
    <t>Now</t>
  </si>
  <si>
    <t>Today</t>
  </si>
  <si>
    <t>Year</t>
  </si>
  <si>
    <t>Month</t>
  </si>
  <si>
    <t>Day</t>
  </si>
  <si>
    <t>Date</t>
  </si>
  <si>
    <t>Hour</t>
  </si>
  <si>
    <t>Minute</t>
  </si>
  <si>
    <t>Second</t>
  </si>
  <si>
    <t>Time</t>
  </si>
  <si>
    <t>Weekday</t>
  </si>
  <si>
    <t>Weeknum</t>
  </si>
  <si>
    <t>Short Day Name</t>
  </si>
  <si>
    <t>Full Day Name</t>
  </si>
  <si>
    <t>Month Name</t>
  </si>
  <si>
    <t>Full Month Name</t>
  </si>
  <si>
    <t>Short Year</t>
  </si>
  <si>
    <t>Full Year</t>
  </si>
  <si>
    <t>Eomonth</t>
  </si>
  <si>
    <t>Months</t>
  </si>
  <si>
    <t>Notes</t>
  </si>
  <si>
    <t>Last day 1 month later</t>
  </si>
  <si>
    <t>Last day 1 month earlier</t>
  </si>
  <si>
    <t>Last day 3 months later</t>
  </si>
  <si>
    <t>Last day 6 months earlier</t>
  </si>
  <si>
    <t>Last day 18 months later</t>
  </si>
  <si>
    <t>Last day 2 years later</t>
  </si>
  <si>
    <t>Last day 5 years later</t>
  </si>
  <si>
    <t>Default Saturday &amp; Sunday off (Holiday)</t>
  </si>
  <si>
    <t>Mahesh Babu Birthdate</t>
  </si>
  <si>
    <t>Networkdays</t>
  </si>
  <si>
    <t>DOB</t>
  </si>
  <si>
    <t>Current Date</t>
  </si>
  <si>
    <t>Questions</t>
  </si>
  <si>
    <t>Output</t>
  </si>
  <si>
    <t>Start Date</t>
  </si>
  <si>
    <t>End Date</t>
  </si>
  <si>
    <t>Networkdays with holiday</t>
  </si>
  <si>
    <t xml:space="preserve"> Jan Month</t>
  </si>
  <si>
    <t>Difference in complete years</t>
  </si>
  <si>
    <t>Y</t>
  </si>
  <si>
    <t>Networkdays.intl</t>
  </si>
  <si>
    <t>Holidays</t>
  </si>
  <si>
    <t>Dates</t>
  </si>
  <si>
    <t>Difference in complete months</t>
  </si>
  <si>
    <t>M</t>
  </si>
  <si>
    <t>Workday</t>
  </si>
  <si>
    <t>New Year</t>
  </si>
  <si>
    <t>Difference in days</t>
  </si>
  <si>
    <t>D</t>
  </si>
  <si>
    <t>Workday.intl</t>
  </si>
  <si>
    <t>Makar Sankranti</t>
  </si>
  <si>
    <t>Datedif</t>
  </si>
  <si>
    <t>Republic day</t>
  </si>
  <si>
    <t>Only Sunday off (Holiday)</t>
  </si>
  <si>
    <t>Aug Month</t>
  </si>
  <si>
    <t>Networkdays.intl with holiday</t>
  </si>
  <si>
    <t>Independence Day</t>
  </si>
  <si>
    <t>Date of Joining</t>
  </si>
  <si>
    <t>Order Date</t>
  </si>
  <si>
    <t>No. of Days</t>
  </si>
  <si>
    <t>Delivery Date</t>
  </si>
  <si>
    <t>Delivery Date with holiday</t>
  </si>
  <si>
    <t>Weekend or Weekdays</t>
  </si>
  <si>
    <t>Q2- Count the number lesser than 20000</t>
  </si>
  <si>
    <t>Q3- Count the number greater than and equals to 30000</t>
  </si>
  <si>
    <t>Suraj</t>
  </si>
  <si>
    <t>Rohit</t>
  </si>
  <si>
    <t>Ramesh</t>
  </si>
  <si>
    <t>Dhiraj</t>
  </si>
  <si>
    <t>Conditions</t>
  </si>
  <si>
    <t>Numbers Lesser than 500</t>
  </si>
  <si>
    <t>Bad</t>
  </si>
  <si>
    <t>Numbers greater than 500</t>
  </si>
  <si>
    <t>Good</t>
  </si>
  <si>
    <t>Numbers Lesser than 300</t>
  </si>
  <si>
    <t>Numbers B/W 300-500</t>
  </si>
  <si>
    <t>OK</t>
  </si>
  <si>
    <t xml:space="preserve"> IF Conditions</t>
  </si>
  <si>
    <t>Nested IF Conditions</t>
  </si>
  <si>
    <t>IFS Condtions</t>
  </si>
  <si>
    <t>If the name is Kumar or the score is above 50, the result should be Yes, otherwise it should be No</t>
  </si>
  <si>
    <t>If the name is Kumar and the score is above 50, the result should be Pass, otherwise it should be fail</t>
  </si>
  <si>
    <t>If the Score is between 70-90, the result should be Selected otherwise it should be Not selected</t>
  </si>
  <si>
    <t>Question 1</t>
  </si>
  <si>
    <t>Question 2</t>
  </si>
  <si>
    <t>Ravi</t>
  </si>
  <si>
    <t>Freeze</t>
  </si>
  <si>
    <t>F4 or Fn F4</t>
  </si>
  <si>
    <t>1 time</t>
  </si>
  <si>
    <t>Cell Lock/Range Lock</t>
  </si>
  <si>
    <t>2 times</t>
  </si>
  <si>
    <t>Row Lock</t>
  </si>
  <si>
    <t>3 times</t>
  </si>
  <si>
    <t>Column Lock</t>
  </si>
  <si>
    <t>Difference in Year</t>
  </si>
  <si>
    <t>NAME</t>
  </si>
  <si>
    <t>PHYSICS</t>
  </si>
  <si>
    <t>CHEMISTRY</t>
  </si>
  <si>
    <t>MATHS</t>
  </si>
  <si>
    <t>BIOLOGY</t>
  </si>
  <si>
    <t>PASSED THE EXAM ?</t>
  </si>
  <si>
    <t>NITIN</t>
  </si>
  <si>
    <t>PASS</t>
  </si>
  <si>
    <t>FAIL</t>
  </si>
  <si>
    <t>FEROZ</t>
  </si>
  <si>
    <t>ANITHA</t>
  </si>
  <si>
    <t>MADAN</t>
  </si>
  <si>
    <t>HARRY</t>
  </si>
  <si>
    <t>SUMITH</t>
  </si>
  <si>
    <t>HARSH</t>
  </si>
  <si>
    <t>TRIVEDI</t>
  </si>
  <si>
    <t>ASHISH</t>
  </si>
  <si>
    <t>IN THIS EXAMPLE, IF STUDENT PASSES ALL THE SUBJECT, THEN HE HAS PASSED THE EXAM  RESULT YES OR NO</t>
  </si>
  <si>
    <t>IN THIS EXAMPLE, IF STUDENT PASSES 3 SUBJECTS, THEN HE HAS PASSED THE EXAM  RESULT YES OR NO</t>
  </si>
  <si>
    <t>Owner</t>
  </si>
  <si>
    <t>Product Class</t>
  </si>
  <si>
    <t>Quantity  Sold</t>
  </si>
  <si>
    <t>Ben</t>
  </si>
  <si>
    <t>A1</t>
  </si>
  <si>
    <t>Jeff</t>
  </si>
  <si>
    <t>A4</t>
  </si>
  <si>
    <t>C3</t>
  </si>
  <si>
    <t>C14</t>
  </si>
  <si>
    <t>Jenny</t>
  </si>
  <si>
    <t>A12</t>
  </si>
  <si>
    <t>B3</t>
  </si>
  <si>
    <t>B7</t>
  </si>
  <si>
    <t>B11</t>
  </si>
  <si>
    <t xml:space="preserve">Total Quantity Sold             By Ben </t>
  </si>
  <si>
    <t>Total Quantity Sold             By Ben  &amp; Jenny</t>
  </si>
  <si>
    <t xml:space="preserve">Total Product Class By Ben </t>
  </si>
  <si>
    <t>Total Product Class By Ben  &amp; Jenny</t>
  </si>
  <si>
    <t xml:space="preserve">Average Quantity Sold By Ben </t>
  </si>
  <si>
    <t>Average Quantity Sold  By Ben  &amp; Jenny</t>
  </si>
  <si>
    <t>Q-1 Minimum Salary of Mumbai city</t>
  </si>
  <si>
    <t>Q-2 Maximum Salary of Mumbai city</t>
  </si>
  <si>
    <t>Q-1 Minimum Salary of Mumbai city for Training Department</t>
  </si>
  <si>
    <t>Q-2 Maximum Salary of Mumbai city for Training Department</t>
  </si>
  <si>
    <t>Minifs</t>
  </si>
  <si>
    <t>Maxifs</t>
  </si>
  <si>
    <t>Item</t>
  </si>
  <si>
    <t>Jan</t>
  </si>
  <si>
    <t>Feb</t>
  </si>
  <si>
    <t>Mar</t>
  </si>
  <si>
    <t>Apples</t>
  </si>
  <si>
    <t>$135</t>
  </si>
  <si>
    <t>Bananas</t>
  </si>
  <si>
    <t>$110</t>
  </si>
  <si>
    <t>Grapes</t>
  </si>
  <si>
    <t>Lemons</t>
  </si>
  <si>
    <t>$120</t>
  </si>
  <si>
    <t>Oranges</t>
  </si>
  <si>
    <t>Total Count of Items</t>
  </si>
  <si>
    <t>Total Count of Blanks</t>
  </si>
  <si>
    <t>Blanks Count</t>
  </si>
  <si>
    <t>Data Entries Count</t>
  </si>
  <si>
    <t>No Data</t>
  </si>
  <si>
    <t>Total Count of Sales</t>
  </si>
  <si>
    <t>From Jan-Mar</t>
  </si>
  <si>
    <t>Total Count of all data</t>
  </si>
  <si>
    <t>2nd minimum value</t>
  </si>
  <si>
    <t>4th Maximum Value</t>
  </si>
  <si>
    <t>Day Name</t>
  </si>
  <si>
    <t>if any one of the conditions in a Table is True then return True or if both the conditions in a Table is False then return False</t>
  </si>
  <si>
    <t>If both the conditions in a Table is True then return True or else return False</t>
  </si>
  <si>
    <t>OR Conditions</t>
  </si>
  <si>
    <t>AND Conditions</t>
  </si>
  <si>
    <t>Sno</t>
  </si>
  <si>
    <t>$A$2</t>
  </si>
  <si>
    <t>A$3</t>
  </si>
  <si>
    <t>$A4</t>
  </si>
  <si>
    <t>Relative</t>
  </si>
  <si>
    <t>No lock</t>
  </si>
  <si>
    <t>Absolute</t>
  </si>
  <si>
    <t>Cell/Range lock</t>
  </si>
  <si>
    <t>Mixed</t>
  </si>
  <si>
    <t>sagar</t>
  </si>
  <si>
    <t>SUM(G3:G14)</t>
  </si>
  <si>
    <t>Average(G3:G14)</t>
  </si>
  <si>
    <t>min(G3:G14)</t>
  </si>
  <si>
    <t>max(G3:G14)</t>
  </si>
  <si>
    <t>Large(G3:G14)</t>
  </si>
  <si>
    <t>Small(G3:G14)</t>
  </si>
  <si>
    <t>product</t>
  </si>
  <si>
    <t>sum product</t>
  </si>
  <si>
    <t>TOTAL SUM PRODUCT</t>
  </si>
  <si>
    <t>SUM</t>
  </si>
  <si>
    <t>countif</t>
  </si>
  <si>
    <t>sumif</t>
  </si>
  <si>
    <t>averageif</t>
  </si>
  <si>
    <t>minif</t>
  </si>
  <si>
    <t>maxif</t>
  </si>
  <si>
    <t>used for single condition</t>
  </si>
  <si>
    <t>not available</t>
  </si>
  <si>
    <t>countifs</t>
  </si>
  <si>
    <t>sumifs</t>
  </si>
  <si>
    <t>averageifs</t>
  </si>
  <si>
    <t>minifs</t>
  </si>
  <si>
    <t>maxifs</t>
  </si>
  <si>
    <t>used for single and multiple condition</t>
  </si>
  <si>
    <t>excel versions from &gt;=2019</t>
  </si>
  <si>
    <t>COUNTIFS(Department,F6,Region,$G$5)</t>
  </si>
  <si>
    <t>AVERAGEIFS(Salary,Department,L6,Region,$M$5)</t>
  </si>
  <si>
    <t>error in excel</t>
  </si>
  <si>
    <t>#Name</t>
  </si>
  <si>
    <t>#Ref</t>
  </si>
  <si>
    <t>Divide error</t>
  </si>
  <si>
    <t>Name Range</t>
  </si>
  <si>
    <t>Not selecting proper range</t>
  </si>
  <si>
    <t>value error incorrect</t>
  </si>
  <si>
    <t>Updated formale error</t>
  </si>
  <si>
    <t>postive numbers</t>
  </si>
  <si>
    <t>negative numbers</t>
  </si>
  <si>
    <t>zero numbers</t>
  </si>
  <si>
    <t>Result less than</t>
  </si>
  <si>
    <t>less than</t>
  </si>
  <si>
    <t>greather than</t>
  </si>
  <si>
    <t>logical test &gt;500</t>
  </si>
  <si>
    <t>True/good</t>
  </si>
  <si>
    <t>logical test  less than or between than</t>
  </si>
  <si>
    <t>True/false</t>
  </si>
  <si>
    <t>ifs returns only true conditions</t>
  </si>
  <si>
    <t xml:space="preserve">shortcuts </t>
  </si>
  <si>
    <t>control;</t>
  </si>
  <si>
    <t>date</t>
  </si>
  <si>
    <t>shift+control+;</t>
  </si>
  <si>
    <t>time</t>
  </si>
  <si>
    <t>mean</t>
  </si>
  <si>
    <t>median</t>
  </si>
  <si>
    <t>mode</t>
  </si>
  <si>
    <t>IF(H5&gt;500,"Good",IF(H5&gt;=300,"ok","Bad"))</t>
  </si>
  <si>
    <t>IF(AND(C31&gt;=70,C31&lt;=90),"selected","Notselected")</t>
  </si>
  <si>
    <t>Result 3</t>
  </si>
  <si>
    <t>iF(AND(C5="PASS",D5="PASS",E5="PASS",F5="PASS"),"YES","NO")</t>
  </si>
  <si>
    <t>Status1</t>
  </si>
  <si>
    <t>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</si>
</sst>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;[Red]&quot;₹&quot;\ #,##0.00"/>
    <numFmt numFmtId="165" formatCode="dd\-mmm\-yyyy"/>
    <numFmt numFmtId="166" formatCode="[$$-C09]#,##0.00"/>
  </numFmts>
  <fonts count="20" x14ac:knownFonts="1">
    <font>
      <sz val="16"/>
      <color theme="1"/>
      <name val="Cambria"/>
      <family val="2"/>
    </font>
    <font>
      <sz val="15"/>
      <color theme="1"/>
      <name val="Cambria"/>
      <family val="2"/>
    </font>
    <font>
      <sz val="16"/>
      <color theme="1"/>
      <name val="Cambria"/>
      <family val="2"/>
    </font>
    <font>
      <sz val="20"/>
      <color rgb="FF000000"/>
      <name val="Aptos Narrow"/>
      <family val="2"/>
      <scheme val="minor"/>
    </font>
    <font>
      <sz val="20"/>
      <color theme="1"/>
      <name val="Cambria"/>
      <family val="2"/>
    </font>
    <font>
      <sz val="20"/>
      <color theme="1"/>
      <name val="Aptos Narrow"/>
      <family val="2"/>
      <scheme val="minor"/>
    </font>
    <font>
      <sz val="20"/>
      <color rgb="FF000000"/>
      <name val="Verdana"/>
      <family val="2"/>
    </font>
    <font>
      <sz val="15"/>
      <color rgb="FFFF0000"/>
      <name val="Cambria"/>
      <family val="2"/>
    </font>
    <font>
      <sz val="15"/>
      <color theme="1"/>
      <name val="Cambria"/>
      <family val="1"/>
    </font>
    <font>
      <sz val="15"/>
      <color rgb="FFFF0000"/>
      <name val="Cambria"/>
      <family val="1"/>
    </font>
    <font>
      <b/>
      <sz val="15"/>
      <color rgb="FFFF0000"/>
      <name val="Cambria"/>
      <family val="1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Cambria"/>
      <family val="2"/>
    </font>
    <font>
      <sz val="14"/>
      <name val="Calibri"/>
      <family val="2"/>
    </font>
    <font>
      <b/>
      <sz val="16"/>
      <color theme="1"/>
      <name val="Calibri"/>
      <family val="2"/>
    </font>
    <font>
      <sz val="16"/>
      <color rgb="FFFF0000"/>
      <name val="Cambria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CCFF"/>
        <bgColor rgb="FF00CCFF"/>
      </patternFill>
    </fill>
    <fill>
      <patternFill patternType="solid">
        <fgColor rgb="FF7F7F7F"/>
        <bgColor rgb="FF7F7F7F"/>
      </patternFill>
    </fill>
    <fill>
      <patternFill patternType="solid">
        <fgColor rgb="FF008000"/>
        <bgColor rgb="FF008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5">
    <xf numFmtId="0" fontId="0" fillId="0" borderId="0" xfId="0"/>
    <xf numFmtId="9" fontId="3" fillId="2" borderId="0" xfId="1" applyFont="1" applyFill="1" applyAlignment="1">
      <alignment vertical="center"/>
    </xf>
    <xf numFmtId="0" fontId="4" fillId="0" borderId="0" xfId="0" applyFont="1"/>
    <xf numFmtId="9" fontId="5" fillId="0" borderId="0" xfId="1" applyFont="1" applyAlignment="1"/>
    <xf numFmtId="9" fontId="3" fillId="0" borderId="0" xfId="1" applyFont="1" applyAlignment="1">
      <alignment vertical="center"/>
    </xf>
    <xf numFmtId="9" fontId="5" fillId="0" borderId="0" xfId="1" applyFont="1" applyAlignment="1">
      <alignment horizontal="left" vertical="center"/>
    </xf>
    <xf numFmtId="9" fontId="3" fillId="0" borderId="0" xfId="1" applyFont="1" applyAlignment="1">
      <alignment horizontal="left" vertical="center"/>
    </xf>
    <xf numFmtId="9" fontId="5" fillId="3" borderId="0" xfId="1" applyFont="1" applyFill="1" applyAlignment="1">
      <alignment horizontal="left" vertical="center"/>
    </xf>
    <xf numFmtId="9" fontId="4" fillId="3" borderId="0" xfId="1" applyFont="1" applyFill="1" applyAlignment="1">
      <alignment horizontal="left" vertical="center"/>
    </xf>
    <xf numFmtId="9" fontId="6" fillId="0" borderId="0" xfId="1" applyFon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15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165" fontId="0" fillId="2" borderId="1" xfId="0" applyNumberFormat="1" applyFill="1" applyBorder="1"/>
    <xf numFmtId="0" fontId="0" fillId="4" borderId="1" xfId="0" applyFill="1" applyBorder="1"/>
    <xf numFmtId="14" fontId="0" fillId="0" borderId="1" xfId="0" applyNumberFormat="1" applyBorder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2" borderId="1" xfId="0" applyFont="1" applyFill="1" applyBorder="1"/>
    <xf numFmtId="9" fontId="9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7" fillId="4" borderId="1" xfId="0" applyFont="1" applyFill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6" borderId="0" xfId="0" applyFont="1" applyFill="1"/>
    <xf numFmtId="14" fontId="0" fillId="0" borderId="1" xfId="0" applyNumberFormat="1" applyBorder="1" applyAlignment="1">
      <alignment horizontal="left"/>
    </xf>
    <xf numFmtId="0" fontId="1" fillId="6" borderId="1" xfId="0" applyFont="1" applyFill="1" applyBorder="1"/>
    <xf numFmtId="164" fontId="1" fillId="6" borderId="1" xfId="0" applyNumberFormat="1" applyFont="1" applyFill="1" applyBorder="1"/>
    <xf numFmtId="0" fontId="10" fillId="2" borderId="0" xfId="0" applyFont="1" applyFill="1" applyAlignment="1">
      <alignment horizontal="center"/>
    </xf>
    <xf numFmtId="0" fontId="11" fillId="7" borderId="6" xfId="0" applyFont="1" applyFill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8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6" fillId="0" borderId="0" xfId="0" applyFont="1"/>
    <xf numFmtId="166" fontId="1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left" vertical="top"/>
    </xf>
    <xf numFmtId="2" fontId="1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9" fillId="0" borderId="0" xfId="0" applyFont="1"/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4" fillId="9" borderId="7" xfId="0" applyFont="1" applyFill="1" applyBorder="1" applyAlignment="1">
      <alignment horizontal="center" vertical="center" wrapText="1"/>
    </xf>
    <xf numFmtId="0" fontId="17" fillId="0" borderId="8" xfId="0" applyFont="1" applyBorder="1"/>
    <xf numFmtId="0" fontId="17" fillId="0" borderId="10" xfId="0" applyFont="1" applyBorder="1"/>
    <xf numFmtId="0" fontId="17" fillId="0" borderId="11" xfId="0" applyFont="1" applyBorder="1"/>
    <xf numFmtId="0" fontId="15" fillId="0" borderId="9" xfId="0" applyFont="1" applyBorder="1" applyAlignment="1">
      <alignment horizontal="center" vertical="center" wrapText="1"/>
    </xf>
    <xf numFmtId="0" fontId="17" fillId="0" borderId="12" xfId="0" applyFont="1" applyBorder="1"/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2" fillId="0" borderId="13" xfId="0" quotePrefix="1" applyFont="1" applyFill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482563</xdr:colOff>
      <xdr:row>9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5A326-0751-4D0F-A4E0-D43F4909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4380" y="640080"/>
          <a:ext cx="3606763" cy="233934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20</xdr:row>
      <xdr:rowOff>198120</xdr:rowOff>
    </xdr:from>
    <xdr:to>
      <xdr:col>3</xdr:col>
      <xdr:colOff>917423</xdr:colOff>
      <xdr:row>31</xdr:row>
      <xdr:rowOff>251460</xdr:rowOff>
    </xdr:to>
    <xdr:pic>
      <xdr:nvPicPr>
        <xdr:cNvPr id="3" name="Picture 2" descr="Dell Multi-Media Keyboard with [F1]..[F12] as “primary” and media functions as “secondary”">
          <a:extLst>
            <a:ext uri="{FF2B5EF4-FFF2-40B4-BE49-F238E27FC236}">
              <a16:creationId xmlns:a16="http://schemas.microsoft.com/office/drawing/2014/main" id="{46B44E91-A0D0-84A0-8790-A0C1BCE70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6675120"/>
          <a:ext cx="8186903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7</xdr:col>
      <xdr:colOff>304800</xdr:colOff>
      <xdr:row>7</xdr:row>
      <xdr:rowOff>22209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DF1C9-94BC-4FFA-A062-824A0394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081"/>
          <a:ext cx="8724900" cy="4533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AF7B-D553-4A43-83DA-2597A19F3A32}">
  <dimension ref="B2:J25"/>
  <sheetViews>
    <sheetView showGridLines="0" workbookViewId="0">
      <selection activeCell="B16" sqref="B16"/>
    </sheetView>
  </sheetViews>
  <sheetFormatPr defaultRowHeight="24.6" x14ac:dyDescent="0.4"/>
  <cols>
    <col min="1" max="1" width="9.06640625" style="2"/>
    <col min="2" max="2" width="46.06640625" style="2" bestFit="1" customWidth="1"/>
    <col min="3" max="4" width="9.06640625" style="2"/>
    <col min="5" max="5" width="5.73046875" style="2" customWidth="1"/>
    <col min="6" max="6" width="12.53125" style="2" customWidth="1"/>
    <col min="7" max="16384" width="9.06640625" style="2"/>
  </cols>
  <sheetData>
    <row r="2" spans="2:10" x14ac:dyDescent="0.4">
      <c r="B2" s="1" t="s">
        <v>0</v>
      </c>
    </row>
    <row r="3" spans="2:10" x14ac:dyDescent="0.4">
      <c r="B3" s="3"/>
    </row>
    <row r="4" spans="2:10" x14ac:dyDescent="0.4">
      <c r="B4" s="4" t="s">
        <v>1</v>
      </c>
    </row>
    <row r="5" spans="2:10" x14ac:dyDescent="0.4">
      <c r="B5" s="3"/>
    </row>
    <row r="6" spans="2:10" x14ac:dyDescent="0.4">
      <c r="B6" s="4" t="s">
        <v>2</v>
      </c>
    </row>
    <row r="7" spans="2:10" x14ac:dyDescent="0.4">
      <c r="B7" s="3"/>
    </row>
    <row r="8" spans="2:10" x14ac:dyDescent="0.4">
      <c r="B8" s="4" t="s">
        <v>3</v>
      </c>
    </row>
    <row r="9" spans="2:10" x14ac:dyDescent="0.4">
      <c r="B9" s="3"/>
    </row>
    <row r="10" spans="2:10" x14ac:dyDescent="0.4">
      <c r="B10" s="4" t="s">
        <v>4</v>
      </c>
    </row>
    <row r="11" spans="2:10" x14ac:dyDescent="0.4">
      <c r="B11" s="5"/>
      <c r="H11" s="2" t="s">
        <v>243</v>
      </c>
      <c r="I11" s="2" t="s">
        <v>296</v>
      </c>
      <c r="J11" s="2" t="s">
        <v>297</v>
      </c>
    </row>
    <row r="12" spans="2:10" x14ac:dyDescent="0.4">
      <c r="B12" s="6" t="s">
        <v>5</v>
      </c>
      <c r="H12" s="2" t="s">
        <v>293</v>
      </c>
      <c r="I12" s="2" t="s">
        <v>298</v>
      </c>
      <c r="J12" s="2" t="s">
        <v>299</v>
      </c>
    </row>
    <row r="13" spans="2:10" x14ac:dyDescent="0.4">
      <c r="B13" s="6" t="s">
        <v>6</v>
      </c>
      <c r="H13" s="2" t="s">
        <v>294</v>
      </c>
      <c r="I13" s="2" t="s">
        <v>300</v>
      </c>
      <c r="J13" s="2" t="s">
        <v>216</v>
      </c>
    </row>
    <row r="14" spans="2:10" x14ac:dyDescent="0.4">
      <c r="B14" s="7"/>
      <c r="H14" s="2" t="s">
        <v>295</v>
      </c>
      <c r="I14" s="2" t="s">
        <v>300</v>
      </c>
      <c r="J14" s="2" t="s">
        <v>218</v>
      </c>
    </row>
    <row r="15" spans="2:10" x14ac:dyDescent="0.4">
      <c r="B15" s="6" t="s">
        <v>7</v>
      </c>
    </row>
    <row r="16" spans="2:10" x14ac:dyDescent="0.4">
      <c r="B16" s="6" t="s">
        <v>8</v>
      </c>
    </row>
    <row r="17" spans="2:8" x14ac:dyDescent="0.4">
      <c r="B17" s="8"/>
    </row>
    <row r="18" spans="2:8" x14ac:dyDescent="0.4">
      <c r="B18" s="8"/>
    </row>
    <row r="19" spans="2:8" x14ac:dyDescent="0.4">
      <c r="B19" s="9" t="s">
        <v>9</v>
      </c>
    </row>
    <row r="20" spans="2:8" x14ac:dyDescent="0.4">
      <c r="B20" s="9" t="s">
        <v>10</v>
      </c>
    </row>
    <row r="22" spans="2:8" x14ac:dyDescent="0.4">
      <c r="B22"/>
      <c r="G22" s="2" t="s">
        <v>78</v>
      </c>
      <c r="H22" s="2" t="s">
        <v>211</v>
      </c>
    </row>
    <row r="23" spans="2:8" x14ac:dyDescent="0.4">
      <c r="F23" s="2" t="s">
        <v>212</v>
      </c>
      <c r="G23" s="2" t="s">
        <v>213</v>
      </c>
      <c r="H23" s="2" t="s">
        <v>214</v>
      </c>
    </row>
    <row r="24" spans="2:8" x14ac:dyDescent="0.4">
      <c r="F24" s="2" t="s">
        <v>212</v>
      </c>
      <c r="G24" s="2" t="s">
        <v>215</v>
      </c>
      <c r="H24" s="2" t="s">
        <v>216</v>
      </c>
    </row>
    <row r="25" spans="2:8" x14ac:dyDescent="0.4">
      <c r="F25" s="2" t="s">
        <v>212</v>
      </c>
      <c r="G25" s="2" t="s">
        <v>217</v>
      </c>
      <c r="H25" s="2" t="s">
        <v>218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5D98-60E9-4F66-B1DA-A86222C4113D}">
  <dimension ref="B1:K20"/>
  <sheetViews>
    <sheetView workbookViewId="0">
      <selection activeCell="J12" sqref="J12"/>
    </sheetView>
  </sheetViews>
  <sheetFormatPr defaultRowHeight="19.2" x14ac:dyDescent="0.35"/>
  <cols>
    <col min="1" max="2" width="9.06640625" style="22"/>
    <col min="3" max="3" width="9.9296875" style="22" bestFit="1" customWidth="1"/>
    <col min="4" max="4" width="9.06640625" style="22"/>
    <col min="5" max="5" width="9.9296875" style="22" bestFit="1" customWidth="1"/>
    <col min="6" max="9" width="9.06640625" style="22"/>
    <col min="10" max="11" width="10.3984375" style="22" bestFit="1" customWidth="1"/>
    <col min="12" max="16384" width="9.06640625" style="22"/>
  </cols>
  <sheetData>
    <row r="1" spans="2:11" x14ac:dyDescent="0.35">
      <c r="B1" s="55" t="s">
        <v>11</v>
      </c>
      <c r="C1" s="55"/>
      <c r="D1" s="55"/>
      <c r="E1" s="55"/>
      <c r="H1" s="55" t="s">
        <v>12</v>
      </c>
      <c r="I1" s="55"/>
      <c r="J1" s="55"/>
      <c r="K1" s="55"/>
    </row>
    <row r="2" spans="2:11" x14ac:dyDescent="0.35">
      <c r="B2" s="23" t="s">
        <v>13</v>
      </c>
      <c r="C2" s="23" t="s">
        <v>14</v>
      </c>
      <c r="D2" s="23" t="s">
        <v>15</v>
      </c>
      <c r="E2" s="23" t="s">
        <v>16</v>
      </c>
    </row>
    <row r="3" spans="2:11" x14ac:dyDescent="0.35">
      <c r="B3" s="24" t="s">
        <v>17</v>
      </c>
      <c r="C3" s="25">
        <v>300</v>
      </c>
      <c r="D3" s="25">
        <v>499</v>
      </c>
      <c r="E3" s="25">
        <f>C3+D3</f>
        <v>799</v>
      </c>
      <c r="H3" s="55" t="s">
        <v>18</v>
      </c>
      <c r="I3" s="55"/>
      <c r="J3" s="27">
        <v>0.15</v>
      </c>
      <c r="K3" s="27">
        <v>0.35</v>
      </c>
    </row>
    <row r="4" spans="2:11" x14ac:dyDescent="0.35">
      <c r="B4" s="24" t="s">
        <v>19</v>
      </c>
      <c r="C4" s="25">
        <v>456</v>
      </c>
      <c r="D4" s="25">
        <v>271</v>
      </c>
      <c r="E4" s="25">
        <f t="shared" ref="E4:E9" si="0">C4+D4</f>
        <v>727</v>
      </c>
      <c r="H4" s="26" t="s">
        <v>20</v>
      </c>
      <c r="I4" s="26" t="s">
        <v>21</v>
      </c>
      <c r="J4" s="26" t="s">
        <v>22</v>
      </c>
      <c r="K4" s="26" t="s">
        <v>23</v>
      </c>
    </row>
    <row r="5" spans="2:11" x14ac:dyDescent="0.35">
      <c r="B5" s="24" t="s">
        <v>24</v>
      </c>
      <c r="C5" s="25">
        <v>153</v>
      </c>
      <c r="D5" s="25">
        <v>216</v>
      </c>
      <c r="E5" s="25">
        <f t="shared" si="0"/>
        <v>369</v>
      </c>
      <c r="H5" s="24" t="s">
        <v>17</v>
      </c>
      <c r="I5" s="25">
        <v>39</v>
      </c>
      <c r="J5" s="24">
        <f>$I$5*15%</f>
        <v>5.85</v>
      </c>
      <c r="K5" s="24">
        <f>$I$5*35%</f>
        <v>13.649999999999999</v>
      </c>
    </row>
    <row r="6" spans="2:11" x14ac:dyDescent="0.35">
      <c r="B6" s="24" t="s">
        <v>25</v>
      </c>
      <c r="C6" s="25">
        <v>396</v>
      </c>
      <c r="D6" s="25">
        <v>101</v>
      </c>
      <c r="E6" s="25">
        <f t="shared" si="0"/>
        <v>497</v>
      </c>
    </row>
    <row r="7" spans="2:11" x14ac:dyDescent="0.35">
      <c r="B7" s="24" t="s">
        <v>26</v>
      </c>
      <c r="C7" s="25">
        <v>291</v>
      </c>
      <c r="D7" s="25">
        <v>404</v>
      </c>
      <c r="E7" s="25">
        <f t="shared" si="0"/>
        <v>695</v>
      </c>
    </row>
    <row r="8" spans="2:11" x14ac:dyDescent="0.35">
      <c r="B8" s="24" t="s">
        <v>27</v>
      </c>
      <c r="C8" s="25">
        <v>480</v>
      </c>
      <c r="D8" s="25">
        <v>169</v>
      </c>
      <c r="E8" s="25">
        <f t="shared" si="0"/>
        <v>649</v>
      </c>
      <c r="H8" s="56" t="s">
        <v>28</v>
      </c>
      <c r="I8" s="57"/>
      <c r="J8" s="58"/>
    </row>
    <row r="9" spans="2:11" x14ac:dyDescent="0.35">
      <c r="B9" s="24" t="s">
        <v>29</v>
      </c>
      <c r="C9" s="25">
        <v>457</v>
      </c>
      <c r="D9" s="25">
        <v>466</v>
      </c>
      <c r="E9" s="25">
        <f t="shared" si="0"/>
        <v>923</v>
      </c>
      <c r="H9" s="55" t="s">
        <v>18</v>
      </c>
      <c r="I9" s="55"/>
      <c r="J9" s="27">
        <v>0.15</v>
      </c>
    </row>
    <row r="10" spans="2:11" x14ac:dyDescent="0.35">
      <c r="H10" s="26" t="s">
        <v>20</v>
      </c>
      <c r="I10" s="26" t="s">
        <v>21</v>
      </c>
      <c r="J10" s="26" t="s">
        <v>22</v>
      </c>
    </row>
    <row r="11" spans="2:11" x14ac:dyDescent="0.35">
      <c r="C11" s="22" t="s">
        <v>30</v>
      </c>
      <c r="D11" s="39">
        <v>3</v>
      </c>
      <c r="H11" s="24" t="s">
        <v>17</v>
      </c>
      <c r="I11" s="25">
        <v>39</v>
      </c>
      <c r="J11" s="24">
        <f>I$11*J9</f>
        <v>5.85</v>
      </c>
    </row>
    <row r="12" spans="2:11" x14ac:dyDescent="0.35">
      <c r="B12" s="56" t="s">
        <v>31</v>
      </c>
      <c r="C12" s="57"/>
      <c r="D12" s="58"/>
      <c r="H12" s="24" t="s">
        <v>19</v>
      </c>
      <c r="I12" s="25">
        <v>34</v>
      </c>
      <c r="J12" s="24">
        <f>I$12*J9</f>
        <v>5.0999999999999996</v>
      </c>
    </row>
    <row r="13" spans="2:11" x14ac:dyDescent="0.35">
      <c r="B13" s="26" t="s">
        <v>20</v>
      </c>
      <c r="C13" s="26" t="s">
        <v>21</v>
      </c>
      <c r="D13" s="26" t="s">
        <v>32</v>
      </c>
      <c r="H13" s="24" t="s">
        <v>24</v>
      </c>
      <c r="I13" s="25">
        <v>10</v>
      </c>
      <c r="J13" s="24">
        <f>I$13*J9</f>
        <v>1.5</v>
      </c>
    </row>
    <row r="14" spans="2:11" x14ac:dyDescent="0.35">
      <c r="B14" s="24" t="s">
        <v>17</v>
      </c>
      <c r="C14" s="25">
        <v>39</v>
      </c>
      <c r="D14" s="24">
        <f>C$14*$D$11</f>
        <v>117</v>
      </c>
    </row>
    <row r="15" spans="2:11" x14ac:dyDescent="0.35">
      <c r="B15" s="24" t="s">
        <v>19</v>
      </c>
      <c r="C15" s="25">
        <v>34</v>
      </c>
      <c r="D15" s="24">
        <f>C$15*$D$11</f>
        <v>102</v>
      </c>
    </row>
    <row r="16" spans="2:11" x14ac:dyDescent="0.35">
      <c r="B16" s="24" t="s">
        <v>24</v>
      </c>
      <c r="C16" s="25">
        <v>10</v>
      </c>
      <c r="D16" s="24">
        <f>C$16*$D$11</f>
        <v>30</v>
      </c>
    </row>
    <row r="17" spans="2:4" x14ac:dyDescent="0.35">
      <c r="B17" s="24" t="s">
        <v>25</v>
      </c>
      <c r="C17" s="25">
        <v>10</v>
      </c>
      <c r="D17" s="24">
        <f>C$17*$D$11</f>
        <v>30</v>
      </c>
    </row>
    <row r="18" spans="2:4" x14ac:dyDescent="0.35">
      <c r="B18" s="24" t="s">
        <v>26</v>
      </c>
      <c r="C18" s="25">
        <v>45</v>
      </c>
      <c r="D18" s="24">
        <f>C$18*$D$11</f>
        <v>135</v>
      </c>
    </row>
    <row r="19" spans="2:4" x14ac:dyDescent="0.35">
      <c r="B19" s="24" t="s">
        <v>27</v>
      </c>
      <c r="C19" s="25">
        <v>21</v>
      </c>
      <c r="D19" s="24">
        <f>C$19*$D$11</f>
        <v>63</v>
      </c>
    </row>
    <row r="20" spans="2:4" x14ac:dyDescent="0.35">
      <c r="B20" s="24" t="s">
        <v>29</v>
      </c>
      <c r="C20" s="25">
        <v>16</v>
      </c>
      <c r="D20" s="24">
        <f>C$20*$D$11</f>
        <v>48</v>
      </c>
    </row>
  </sheetData>
  <mergeCells count="6">
    <mergeCell ref="B1:E1"/>
    <mergeCell ref="H1:K1"/>
    <mergeCell ref="H3:I3"/>
    <mergeCell ref="H9:I9"/>
    <mergeCell ref="B12:D12"/>
    <mergeCell ref="H8:J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A39E-EF1E-4E56-ACF3-F650149BC935}">
  <dimension ref="B2:K19"/>
  <sheetViews>
    <sheetView showGridLines="0" topLeftCell="A12" workbookViewId="0">
      <selection activeCell="D21" sqref="D21"/>
    </sheetView>
  </sheetViews>
  <sheetFormatPr defaultRowHeight="19.2" x14ac:dyDescent="0.35"/>
  <cols>
    <col min="1" max="16384" width="9.06640625" style="29"/>
  </cols>
  <sheetData>
    <row r="2" spans="2:11" x14ac:dyDescent="0.35">
      <c r="B2" s="28">
        <v>1</v>
      </c>
      <c r="C2" s="28">
        <v>2</v>
      </c>
      <c r="D2" s="28">
        <v>3</v>
      </c>
      <c r="E2" s="28">
        <v>4</v>
      </c>
      <c r="F2" s="28">
        <v>5</v>
      </c>
      <c r="G2" s="28">
        <v>6</v>
      </c>
      <c r="H2" s="28">
        <v>7</v>
      </c>
      <c r="I2" s="28">
        <v>8</v>
      </c>
      <c r="J2" s="28">
        <v>9</v>
      </c>
      <c r="K2" s="28">
        <v>10</v>
      </c>
    </row>
    <row r="3" spans="2:11" x14ac:dyDescent="0.35">
      <c r="B3" s="28">
        <v>2</v>
      </c>
      <c r="C3" s="30">
        <f>$B3*C$2</f>
        <v>4</v>
      </c>
      <c r="D3" s="30">
        <f t="shared" ref="D3:K11" si="0">$B3*D$2</f>
        <v>6</v>
      </c>
      <c r="E3" s="30">
        <f t="shared" si="0"/>
        <v>8</v>
      </c>
      <c r="F3" s="30">
        <f t="shared" si="0"/>
        <v>10</v>
      </c>
      <c r="G3" s="30">
        <f t="shared" si="0"/>
        <v>12</v>
      </c>
      <c r="H3" s="30">
        <f t="shared" si="0"/>
        <v>14</v>
      </c>
      <c r="I3" s="30">
        <f t="shared" si="0"/>
        <v>16</v>
      </c>
      <c r="J3" s="30">
        <f t="shared" si="0"/>
        <v>18</v>
      </c>
      <c r="K3" s="30">
        <f t="shared" si="0"/>
        <v>20</v>
      </c>
    </row>
    <row r="4" spans="2:11" x14ac:dyDescent="0.35">
      <c r="B4" s="28">
        <v>3</v>
      </c>
      <c r="C4" s="30">
        <f t="shared" ref="C4:C11" si="1">$B4*C$2</f>
        <v>6</v>
      </c>
      <c r="D4" s="30">
        <f t="shared" si="0"/>
        <v>9</v>
      </c>
      <c r="E4" s="30">
        <f t="shared" si="0"/>
        <v>12</v>
      </c>
      <c r="F4" s="30">
        <f t="shared" si="0"/>
        <v>15</v>
      </c>
      <c r="G4" s="30">
        <f t="shared" si="0"/>
        <v>18</v>
      </c>
      <c r="H4" s="30">
        <f t="shared" si="0"/>
        <v>21</v>
      </c>
      <c r="I4" s="30">
        <f t="shared" si="0"/>
        <v>24</v>
      </c>
      <c r="J4" s="30">
        <f t="shared" si="0"/>
        <v>27</v>
      </c>
      <c r="K4" s="30">
        <f t="shared" si="0"/>
        <v>30</v>
      </c>
    </row>
    <row r="5" spans="2:11" x14ac:dyDescent="0.35">
      <c r="B5" s="28">
        <v>4</v>
      </c>
      <c r="C5" s="30">
        <f t="shared" si="1"/>
        <v>8</v>
      </c>
      <c r="D5" s="30">
        <f t="shared" si="0"/>
        <v>12</v>
      </c>
      <c r="E5" s="30">
        <f t="shared" si="0"/>
        <v>16</v>
      </c>
      <c r="F5" s="30">
        <f t="shared" si="0"/>
        <v>20</v>
      </c>
      <c r="G5" s="30">
        <f t="shared" si="0"/>
        <v>24</v>
      </c>
      <c r="H5" s="30">
        <f t="shared" si="0"/>
        <v>28</v>
      </c>
      <c r="I5" s="30">
        <f t="shared" si="0"/>
        <v>32</v>
      </c>
      <c r="J5" s="30">
        <f t="shared" si="0"/>
        <v>36</v>
      </c>
      <c r="K5" s="30">
        <f t="shared" si="0"/>
        <v>40</v>
      </c>
    </row>
    <row r="6" spans="2:11" x14ac:dyDescent="0.35">
      <c r="B6" s="28">
        <v>5</v>
      </c>
      <c r="C6" s="30">
        <f t="shared" si="1"/>
        <v>10</v>
      </c>
      <c r="D6" s="30">
        <f t="shared" si="0"/>
        <v>15</v>
      </c>
      <c r="E6" s="30">
        <f t="shared" si="0"/>
        <v>20</v>
      </c>
      <c r="F6" s="30">
        <f t="shared" si="0"/>
        <v>25</v>
      </c>
      <c r="G6" s="30">
        <f t="shared" si="0"/>
        <v>30</v>
      </c>
      <c r="H6" s="30">
        <f t="shared" si="0"/>
        <v>35</v>
      </c>
      <c r="I6" s="30">
        <f t="shared" si="0"/>
        <v>40</v>
      </c>
      <c r="J6" s="30">
        <f t="shared" si="0"/>
        <v>45</v>
      </c>
      <c r="K6" s="30">
        <f t="shared" si="0"/>
        <v>50</v>
      </c>
    </row>
    <row r="7" spans="2:11" x14ac:dyDescent="0.35">
      <c r="B7" s="28">
        <v>6</v>
      </c>
      <c r="C7" s="30">
        <f t="shared" si="1"/>
        <v>12</v>
      </c>
      <c r="D7" s="30">
        <f t="shared" si="0"/>
        <v>18</v>
      </c>
      <c r="E7" s="30">
        <f t="shared" si="0"/>
        <v>24</v>
      </c>
      <c r="F7" s="30">
        <f t="shared" si="0"/>
        <v>30</v>
      </c>
      <c r="G7" s="30">
        <f t="shared" si="0"/>
        <v>36</v>
      </c>
      <c r="H7" s="30">
        <f t="shared" si="0"/>
        <v>42</v>
      </c>
      <c r="I7" s="30">
        <f t="shared" si="0"/>
        <v>48</v>
      </c>
      <c r="J7" s="30">
        <f t="shared" si="0"/>
        <v>54</v>
      </c>
      <c r="K7" s="30">
        <f t="shared" si="0"/>
        <v>60</v>
      </c>
    </row>
    <row r="8" spans="2:11" x14ac:dyDescent="0.35">
      <c r="B8" s="28">
        <v>7</v>
      </c>
      <c r="C8" s="30">
        <f t="shared" si="1"/>
        <v>14</v>
      </c>
      <c r="D8" s="30">
        <f t="shared" si="0"/>
        <v>21</v>
      </c>
      <c r="E8" s="30">
        <f t="shared" si="0"/>
        <v>28</v>
      </c>
      <c r="F8" s="30">
        <f t="shared" si="0"/>
        <v>35</v>
      </c>
      <c r="G8" s="30">
        <f t="shared" si="0"/>
        <v>42</v>
      </c>
      <c r="H8" s="30">
        <f t="shared" si="0"/>
        <v>49</v>
      </c>
      <c r="I8" s="30">
        <f t="shared" si="0"/>
        <v>56</v>
      </c>
      <c r="J8" s="30">
        <f t="shared" si="0"/>
        <v>63</v>
      </c>
      <c r="K8" s="30">
        <f t="shared" si="0"/>
        <v>70</v>
      </c>
    </row>
    <row r="9" spans="2:11" x14ac:dyDescent="0.35">
      <c r="B9" s="28">
        <v>8</v>
      </c>
      <c r="C9" s="30">
        <f t="shared" si="1"/>
        <v>16</v>
      </c>
      <c r="D9" s="30">
        <f t="shared" si="0"/>
        <v>24</v>
      </c>
      <c r="E9" s="30">
        <f t="shared" si="0"/>
        <v>32</v>
      </c>
      <c r="F9" s="30">
        <f t="shared" si="0"/>
        <v>40</v>
      </c>
      <c r="G9" s="30">
        <f t="shared" si="0"/>
        <v>48</v>
      </c>
      <c r="H9" s="30">
        <f t="shared" si="0"/>
        <v>56</v>
      </c>
      <c r="I9" s="30">
        <f t="shared" si="0"/>
        <v>64</v>
      </c>
      <c r="J9" s="30">
        <f t="shared" si="0"/>
        <v>72</v>
      </c>
      <c r="K9" s="30">
        <f t="shared" si="0"/>
        <v>80</v>
      </c>
    </row>
    <row r="10" spans="2:11" x14ac:dyDescent="0.35">
      <c r="B10" s="28">
        <v>9</v>
      </c>
      <c r="C10" s="30">
        <f t="shared" si="1"/>
        <v>18</v>
      </c>
      <c r="D10" s="30">
        <f t="shared" si="0"/>
        <v>27</v>
      </c>
      <c r="E10" s="30">
        <f t="shared" si="0"/>
        <v>36</v>
      </c>
      <c r="F10" s="30">
        <f t="shared" si="0"/>
        <v>45</v>
      </c>
      <c r="G10" s="30">
        <f t="shared" si="0"/>
        <v>54</v>
      </c>
      <c r="H10" s="30">
        <f t="shared" si="0"/>
        <v>63</v>
      </c>
      <c r="I10" s="30">
        <f t="shared" si="0"/>
        <v>72</v>
      </c>
      <c r="J10" s="30">
        <f t="shared" si="0"/>
        <v>81</v>
      </c>
      <c r="K10" s="30">
        <f t="shared" si="0"/>
        <v>90</v>
      </c>
    </row>
    <row r="11" spans="2:11" x14ac:dyDescent="0.35">
      <c r="B11" s="28">
        <v>10</v>
      </c>
      <c r="C11" s="30">
        <f t="shared" si="1"/>
        <v>20</v>
      </c>
      <c r="D11" s="30">
        <f t="shared" si="0"/>
        <v>30</v>
      </c>
      <c r="E11" s="30">
        <f t="shared" si="0"/>
        <v>40</v>
      </c>
      <c r="F11" s="30">
        <f t="shared" si="0"/>
        <v>50</v>
      </c>
      <c r="G11" s="30">
        <f t="shared" si="0"/>
        <v>60</v>
      </c>
      <c r="H11" s="30">
        <f t="shared" si="0"/>
        <v>70</v>
      </c>
      <c r="I11" s="30">
        <f t="shared" si="0"/>
        <v>80</v>
      </c>
      <c r="J11" s="30">
        <f t="shared" si="0"/>
        <v>90</v>
      </c>
      <c r="K11" s="30">
        <f t="shared" si="0"/>
        <v>100</v>
      </c>
    </row>
    <row r="16" spans="2:11" x14ac:dyDescent="0.35">
      <c r="B16" s="28">
        <v>1</v>
      </c>
      <c r="C16" s="28">
        <v>5</v>
      </c>
      <c r="D16" s="28">
        <v>10</v>
      </c>
    </row>
    <row r="17" spans="2:4" x14ac:dyDescent="0.35">
      <c r="B17" s="28">
        <v>2</v>
      </c>
      <c r="C17" s="30">
        <f>$B17*C$16</f>
        <v>10</v>
      </c>
      <c r="D17" s="30">
        <f>$B17*D$16</f>
        <v>20</v>
      </c>
    </row>
    <row r="18" spans="2:4" x14ac:dyDescent="0.35">
      <c r="B18" s="28">
        <v>4</v>
      </c>
      <c r="C18" s="30">
        <f t="shared" ref="C18:D19" si="2">$B18*C$16</f>
        <v>20</v>
      </c>
      <c r="D18" s="30">
        <f t="shared" si="2"/>
        <v>40</v>
      </c>
    </row>
    <row r="19" spans="2:4" x14ac:dyDescent="0.35">
      <c r="B19" s="28">
        <v>5</v>
      </c>
      <c r="C19" s="30">
        <f t="shared" si="2"/>
        <v>25</v>
      </c>
      <c r="D19" s="30">
        <f t="shared" si="2"/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6818-50CC-4D43-ADA2-1DA98303077E}">
  <dimension ref="A2:Q40"/>
  <sheetViews>
    <sheetView workbookViewId="0">
      <selection activeCell="I37" sqref="I37"/>
    </sheetView>
  </sheetViews>
  <sheetFormatPr defaultColWidth="10.59765625" defaultRowHeight="19.2" x14ac:dyDescent="0.35"/>
  <cols>
    <col min="1" max="5" width="10.59765625" style="29"/>
    <col min="6" max="6" width="10.1328125" style="29" bestFit="1" customWidth="1"/>
    <col min="7" max="7" width="10.1328125" style="29" customWidth="1"/>
    <col min="8" max="8" width="7.33203125" style="29" customWidth="1"/>
    <col min="9" max="9" width="10.59765625" style="29"/>
    <col min="10" max="10" width="11.33203125" style="29" bestFit="1" customWidth="1"/>
    <col min="11" max="14" width="10.59765625" style="29"/>
    <col min="15" max="15" width="12.53125" style="29" bestFit="1" customWidth="1"/>
    <col min="16" max="16384" width="10.59765625" style="29"/>
  </cols>
  <sheetData>
    <row r="2" spans="1:17" ht="38.4" x14ac:dyDescent="0.35">
      <c r="A2" s="30" t="s">
        <v>33</v>
      </c>
      <c r="C2" s="31" t="s">
        <v>34</v>
      </c>
      <c r="G2" s="30" t="s">
        <v>33</v>
      </c>
      <c r="I2" s="31" t="s">
        <v>34</v>
      </c>
      <c r="M2" s="30" t="s">
        <v>35</v>
      </c>
      <c r="N2" s="30" t="s">
        <v>36</v>
      </c>
      <c r="O2" s="30" t="s">
        <v>37</v>
      </c>
      <c r="P2" s="52" t="s">
        <v>310</v>
      </c>
      <c r="Q2" s="29" t="s">
        <v>311</v>
      </c>
    </row>
    <row r="3" spans="1:17" x14ac:dyDescent="0.35">
      <c r="A3" s="30">
        <v>93</v>
      </c>
      <c r="C3" s="30" t="s">
        <v>40</v>
      </c>
      <c r="D3" s="29">
        <f>COUNT(A3:A14)</f>
        <v>10</v>
      </c>
      <c r="E3" s="29" t="str">
        <f ca="1">_xlfn.FORMULATEXT(D3)</f>
        <v>=COUNT(A3:A14)</v>
      </c>
      <c r="G3" s="30">
        <v>93</v>
      </c>
      <c r="I3" s="30" t="s">
        <v>38</v>
      </c>
      <c r="J3" s="29">
        <f>SUM(G3:G14)</f>
        <v>4634</v>
      </c>
      <c r="K3" s="50" t="s">
        <v>302</v>
      </c>
      <c r="M3" s="30">
        <v>2</v>
      </c>
      <c r="N3" s="30">
        <v>40</v>
      </c>
      <c r="O3" s="30">
        <f ca="1">SUMPRODUCT(PRODUCT(M3:O8))</f>
        <v>0</v>
      </c>
      <c r="P3" s="29">
        <f>SUMPRODUCT(M3:N3)</f>
        <v>42</v>
      </c>
      <c r="Q3" s="29">
        <f ca="1">SUM(O3:P3)</f>
        <v>42</v>
      </c>
    </row>
    <row r="4" spans="1:17" x14ac:dyDescent="0.35">
      <c r="A4" s="30">
        <v>271</v>
      </c>
      <c r="C4" s="30" t="s">
        <v>41</v>
      </c>
      <c r="D4" s="29">
        <f>COUNTA(A3:A14)</f>
        <v>11</v>
      </c>
      <c r="E4" s="29" t="str">
        <f ca="1">_xlfn.FORMULATEXT(D4)</f>
        <v>=COUNTA(A3:A14)</v>
      </c>
      <c r="G4" s="30">
        <v>271</v>
      </c>
      <c r="I4" s="30" t="s">
        <v>39</v>
      </c>
      <c r="J4" s="49">
        <f>AVERAGE(G3:G14)</f>
        <v>386.16666666666669</v>
      </c>
      <c r="K4" s="50" t="s">
        <v>303</v>
      </c>
      <c r="M4" s="30">
        <v>6</v>
      </c>
      <c r="N4" s="30">
        <v>30</v>
      </c>
      <c r="O4" s="30">
        <f t="shared" ref="O4:O6" si="0">PRODUCT(M4:N4)</f>
        <v>180</v>
      </c>
      <c r="P4" s="29">
        <f t="shared" ref="P4:P6" si="1">SUMPRODUCT(M4:N4)</f>
        <v>36</v>
      </c>
      <c r="Q4" s="29">
        <f>SUM(O4:P4)</f>
        <v>216</v>
      </c>
    </row>
    <row r="5" spans="1:17" x14ac:dyDescent="0.35">
      <c r="A5" s="30">
        <v>692</v>
      </c>
      <c r="C5" s="30" t="s">
        <v>42</v>
      </c>
      <c r="D5" s="29">
        <f>COUNTBLANK(A3:A14)</f>
        <v>1</v>
      </c>
      <c r="E5" s="29" t="str">
        <f ca="1">_xlfn.FORMULATEXT(D5)</f>
        <v>=COUNTBLANK(A3:A14)</v>
      </c>
      <c r="G5" s="30">
        <v>692</v>
      </c>
      <c r="I5" s="30" t="s">
        <v>43</v>
      </c>
      <c r="J5" s="29">
        <f>MIN(G3:G14)</f>
        <v>23</v>
      </c>
      <c r="K5" s="50" t="s">
        <v>304</v>
      </c>
      <c r="M5" s="30">
        <v>8</v>
      </c>
      <c r="N5" s="30">
        <v>60</v>
      </c>
      <c r="O5" s="30">
        <f t="shared" si="0"/>
        <v>480</v>
      </c>
      <c r="P5" s="29">
        <f t="shared" si="1"/>
        <v>68</v>
      </c>
      <c r="Q5" s="29">
        <f>SUM(O5:P5)</f>
        <v>548</v>
      </c>
    </row>
    <row r="6" spans="1:17" x14ac:dyDescent="0.35">
      <c r="A6" s="30">
        <v>570</v>
      </c>
      <c r="G6" s="30">
        <v>65</v>
      </c>
      <c r="I6" s="30" t="s">
        <v>44</v>
      </c>
      <c r="J6" s="29">
        <f>MAX(G3:G14)</f>
        <v>793</v>
      </c>
      <c r="K6" s="50" t="s">
        <v>305</v>
      </c>
      <c r="M6" s="30">
        <v>15</v>
      </c>
      <c r="N6" s="30">
        <v>80</v>
      </c>
      <c r="O6" s="30">
        <f t="shared" si="0"/>
        <v>1200</v>
      </c>
      <c r="P6" s="29">
        <f t="shared" si="1"/>
        <v>95</v>
      </c>
      <c r="Q6" s="29">
        <f>SUM(O6:P6)</f>
        <v>1295</v>
      </c>
    </row>
    <row r="7" spans="1:17" x14ac:dyDescent="0.35">
      <c r="A7" s="30">
        <v>415</v>
      </c>
      <c r="G7" s="30">
        <v>415</v>
      </c>
      <c r="I7" s="30" t="s">
        <v>46</v>
      </c>
      <c r="J7" s="29">
        <f>LARGE(G3:G14,1)</f>
        <v>793</v>
      </c>
      <c r="K7" s="50" t="s">
        <v>306</v>
      </c>
      <c r="O7" s="29">
        <f ca="1">SUM(O3:O6)</f>
        <v>1940</v>
      </c>
    </row>
    <row r="8" spans="1:17" x14ac:dyDescent="0.35">
      <c r="A8" s="30" t="s">
        <v>301</v>
      </c>
      <c r="G8" s="30">
        <v>348</v>
      </c>
      <c r="I8" s="30" t="s">
        <v>45</v>
      </c>
      <c r="J8" s="29">
        <f>SMALL(G3:G14,1)</f>
        <v>23</v>
      </c>
      <c r="K8" s="50" t="s">
        <v>307</v>
      </c>
    </row>
    <row r="9" spans="1:17" x14ac:dyDescent="0.35">
      <c r="A9" s="30">
        <v>12</v>
      </c>
      <c r="G9" s="30">
        <v>350</v>
      </c>
      <c r="M9" s="29" t="s">
        <v>308</v>
      </c>
    </row>
    <row r="10" spans="1:17" x14ac:dyDescent="0.35">
      <c r="A10" s="30">
        <v>793</v>
      </c>
      <c r="G10" s="30">
        <v>793</v>
      </c>
      <c r="M10" s="29" t="s">
        <v>309</v>
      </c>
    </row>
    <row r="11" spans="1:17" x14ac:dyDescent="0.35">
      <c r="A11" s="30">
        <v>200</v>
      </c>
      <c r="G11" s="30">
        <v>23</v>
      </c>
      <c r="I11" s="29" t="s">
        <v>285</v>
      </c>
      <c r="K11" s="29">
        <f>SMALL(G3:G14,2)</f>
        <v>65</v>
      </c>
    </row>
    <row r="12" spans="1:17" x14ac:dyDescent="0.35">
      <c r="A12" s="30"/>
      <c r="G12" s="30">
        <v>705</v>
      </c>
      <c r="I12" s="29" t="s">
        <v>286</v>
      </c>
      <c r="K12" s="29">
        <f>LARGE(G3:G14,4)</f>
        <v>584</v>
      </c>
    </row>
    <row r="13" spans="1:17" x14ac:dyDescent="0.35">
      <c r="A13" s="30">
        <v>678</v>
      </c>
      <c r="G13" s="30">
        <v>295</v>
      </c>
    </row>
    <row r="14" spans="1:17" x14ac:dyDescent="0.35">
      <c r="A14" s="30">
        <v>584</v>
      </c>
      <c r="G14" s="30">
        <v>584</v>
      </c>
    </row>
    <row r="18" spans="1:3" x14ac:dyDescent="0.35">
      <c r="A18" s="30" t="s">
        <v>292</v>
      </c>
      <c r="B18" s="30" t="s">
        <v>265</v>
      </c>
      <c r="C18" s="30" t="s">
        <v>91</v>
      </c>
    </row>
    <row r="19" spans="1:3" x14ac:dyDescent="0.35">
      <c r="A19" s="30">
        <v>1</v>
      </c>
      <c r="B19" s="30" t="s">
        <v>269</v>
      </c>
      <c r="C19" s="47">
        <v>100</v>
      </c>
    </row>
    <row r="20" spans="1:3" x14ac:dyDescent="0.35">
      <c r="A20" s="30">
        <v>2</v>
      </c>
      <c r="B20" s="30" t="s">
        <v>271</v>
      </c>
      <c r="C20" s="47">
        <v>130</v>
      </c>
    </row>
    <row r="21" spans="1:3" x14ac:dyDescent="0.35">
      <c r="A21" s="30">
        <v>3</v>
      </c>
      <c r="B21" s="30"/>
      <c r="C21" s="47" t="s">
        <v>281</v>
      </c>
    </row>
    <row r="22" spans="1:3" x14ac:dyDescent="0.35">
      <c r="A22" s="30">
        <v>4</v>
      </c>
      <c r="B22" s="30" t="s">
        <v>273</v>
      </c>
      <c r="C22" s="47">
        <v>125</v>
      </c>
    </row>
    <row r="23" spans="1:3" x14ac:dyDescent="0.35">
      <c r="A23" s="30">
        <v>5</v>
      </c>
      <c r="B23" s="30" t="s">
        <v>274</v>
      </c>
      <c r="C23" s="47"/>
    </row>
    <row r="24" spans="1:3" x14ac:dyDescent="0.35">
      <c r="A24" s="30">
        <v>6</v>
      </c>
      <c r="B24" s="30" t="s">
        <v>276</v>
      </c>
      <c r="C24" s="47">
        <v>115</v>
      </c>
    </row>
    <row r="26" spans="1:3" x14ac:dyDescent="0.35">
      <c r="A26" s="29" t="s">
        <v>277</v>
      </c>
      <c r="C26" s="29">
        <f>COUNTA(B19:B24)</f>
        <v>5</v>
      </c>
    </row>
    <row r="28" spans="1:3" x14ac:dyDescent="0.35">
      <c r="A28" s="29" t="s">
        <v>282</v>
      </c>
      <c r="C28" s="29">
        <f>COUNT(C19:C24)</f>
        <v>4</v>
      </c>
    </row>
    <row r="30" spans="1:3" x14ac:dyDescent="0.35">
      <c r="A30" s="29" t="s">
        <v>278</v>
      </c>
      <c r="C30" s="29">
        <f>COUNTBLANK(B19:C24)</f>
        <v>2</v>
      </c>
    </row>
    <row r="32" spans="1:3" x14ac:dyDescent="0.35">
      <c r="A32" s="29" t="s">
        <v>284</v>
      </c>
      <c r="C32" s="29">
        <f>COUNT(A19:C24)</f>
        <v>10</v>
      </c>
    </row>
    <row r="33" spans="1:7" x14ac:dyDescent="0.35">
      <c r="F33" s="59" t="s">
        <v>283</v>
      </c>
      <c r="G33" s="59"/>
    </row>
    <row r="34" spans="1:7" x14ac:dyDescent="0.35">
      <c r="A34" s="30">
        <v>1</v>
      </c>
      <c r="B34" s="30" t="s">
        <v>265</v>
      </c>
      <c r="C34" s="30" t="s">
        <v>266</v>
      </c>
      <c r="D34" s="30" t="s">
        <v>267</v>
      </c>
      <c r="E34" s="30" t="s">
        <v>268</v>
      </c>
      <c r="F34" s="30" t="s">
        <v>279</v>
      </c>
      <c r="G34" s="30" t="s">
        <v>280</v>
      </c>
    </row>
    <row r="35" spans="1:7" x14ac:dyDescent="0.35">
      <c r="A35" s="30">
        <v>2</v>
      </c>
      <c r="B35" s="30" t="s">
        <v>269</v>
      </c>
      <c r="C35" s="47">
        <v>100</v>
      </c>
      <c r="D35" s="47">
        <v>115</v>
      </c>
      <c r="E35" s="34" t="s">
        <v>270</v>
      </c>
      <c r="F35" s="30">
        <f>COUNTBLANK(C35:E35)</f>
        <v>0</v>
      </c>
      <c r="G35" s="30">
        <f>COUNTA(C35:E35)</f>
        <v>3</v>
      </c>
    </row>
    <row r="36" spans="1:7" x14ac:dyDescent="0.35">
      <c r="A36" s="30">
        <v>3</v>
      </c>
      <c r="B36" s="30" t="s">
        <v>271</v>
      </c>
      <c r="C36" s="47">
        <v>130</v>
      </c>
      <c r="D36" s="47"/>
      <c r="E36" s="34" t="s">
        <v>272</v>
      </c>
      <c r="F36" s="30">
        <f t="shared" ref="F36:F40" si="2">COUNTBLANK(C36:E36)</f>
        <v>1</v>
      </c>
      <c r="G36" s="30">
        <f t="shared" ref="G36:G40" si="3">COUNTA(C36:E36)</f>
        <v>2</v>
      </c>
    </row>
    <row r="37" spans="1:7" x14ac:dyDescent="0.35">
      <c r="A37" s="30">
        <v>4</v>
      </c>
      <c r="B37" s="30"/>
      <c r="C37" s="47"/>
      <c r="D37" s="47">
        <v>145</v>
      </c>
      <c r="E37" s="34"/>
      <c r="F37" s="30">
        <f t="shared" si="2"/>
        <v>2</v>
      </c>
      <c r="G37" s="30">
        <f t="shared" si="3"/>
        <v>1</v>
      </c>
    </row>
    <row r="38" spans="1:7" x14ac:dyDescent="0.35">
      <c r="A38" s="30">
        <v>5</v>
      </c>
      <c r="B38" s="30" t="s">
        <v>273</v>
      </c>
      <c r="C38" s="47">
        <v>125</v>
      </c>
      <c r="D38" s="47"/>
      <c r="E38" s="34"/>
      <c r="F38" s="30">
        <f t="shared" si="2"/>
        <v>2</v>
      </c>
      <c r="G38" s="30">
        <f t="shared" si="3"/>
        <v>1</v>
      </c>
    </row>
    <row r="39" spans="1:7" x14ac:dyDescent="0.35">
      <c r="A39" s="30">
        <v>6</v>
      </c>
      <c r="B39" s="30" t="s">
        <v>274</v>
      </c>
      <c r="C39" s="47"/>
      <c r="D39" s="47">
        <v>130</v>
      </c>
      <c r="E39" s="34" t="s">
        <v>275</v>
      </c>
      <c r="F39" s="30">
        <f t="shared" si="2"/>
        <v>1</v>
      </c>
      <c r="G39" s="30">
        <f t="shared" si="3"/>
        <v>2</v>
      </c>
    </row>
    <row r="40" spans="1:7" x14ac:dyDescent="0.35">
      <c r="A40" s="30">
        <v>7</v>
      </c>
      <c r="B40" s="30" t="s">
        <v>276</v>
      </c>
      <c r="C40" s="47">
        <v>115</v>
      </c>
      <c r="D40" s="47"/>
      <c r="E40" s="34"/>
      <c r="F40" s="30">
        <f t="shared" si="2"/>
        <v>2</v>
      </c>
      <c r="G40" s="30">
        <f t="shared" si="3"/>
        <v>1</v>
      </c>
    </row>
  </sheetData>
  <mergeCells count="1">
    <mergeCell ref="F33:G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E246-C367-485A-930A-3E4AFA2BB7CC}">
  <dimension ref="A1:J21"/>
  <sheetViews>
    <sheetView topLeftCell="A2" workbookViewId="0">
      <selection activeCell="H16" sqref="H16"/>
    </sheetView>
  </sheetViews>
  <sheetFormatPr defaultRowHeight="19.2" x14ac:dyDescent="0.35"/>
  <cols>
    <col min="1" max="1" width="8.796875" style="29" bestFit="1" customWidth="1"/>
    <col min="2" max="2" width="6.06640625" style="29" bestFit="1" customWidth="1"/>
    <col min="3" max="3" width="9.86328125" style="29" bestFit="1" customWidth="1"/>
    <col min="4" max="4" width="9.9296875" style="29" bestFit="1" customWidth="1"/>
    <col min="5" max="5" width="4" style="29" customWidth="1"/>
    <col min="6" max="6" width="9.6640625" style="29" customWidth="1"/>
    <col min="7" max="7" width="11.9296875" style="29" bestFit="1" customWidth="1"/>
    <col min="8" max="8" width="10.86328125" style="29" bestFit="1" customWidth="1"/>
    <col min="9" max="9" width="3.59765625" style="29" customWidth="1"/>
    <col min="10" max="16384" width="9.06640625" style="29"/>
  </cols>
  <sheetData>
    <row r="1" spans="1:10" x14ac:dyDescent="0.35">
      <c r="A1" s="30" t="s">
        <v>47</v>
      </c>
      <c r="B1" s="30" t="s">
        <v>48</v>
      </c>
      <c r="C1" s="30" t="s">
        <v>49</v>
      </c>
      <c r="D1" s="32" t="s">
        <v>50</v>
      </c>
    </row>
    <row r="2" spans="1:10" x14ac:dyDescent="0.35">
      <c r="A2" s="30" t="s">
        <v>51</v>
      </c>
      <c r="B2" s="30" t="s">
        <v>52</v>
      </c>
      <c r="C2" s="32">
        <v>24860</v>
      </c>
      <c r="D2" s="30" t="s">
        <v>53</v>
      </c>
      <c r="G2" s="30" t="s">
        <v>54</v>
      </c>
      <c r="H2" s="30" t="s">
        <v>55</v>
      </c>
    </row>
    <row r="3" spans="1:10" x14ac:dyDescent="0.35">
      <c r="A3" s="30" t="s">
        <v>56</v>
      </c>
      <c r="B3" s="30" t="s">
        <v>57</v>
      </c>
      <c r="C3" s="32">
        <v>21006</v>
      </c>
      <c r="D3" s="30" t="s">
        <v>58</v>
      </c>
      <c r="G3" s="30" t="s">
        <v>70</v>
      </c>
      <c r="H3" s="30">
        <f>COUNTIF(A2:A20,"Mumbai")</f>
        <v>4</v>
      </c>
      <c r="J3" s="29" t="s">
        <v>59</v>
      </c>
    </row>
    <row r="4" spans="1:10" x14ac:dyDescent="0.35">
      <c r="A4" s="30" t="s">
        <v>60</v>
      </c>
      <c r="B4" s="30" t="s">
        <v>57</v>
      </c>
      <c r="C4" s="32">
        <v>36750</v>
      </c>
      <c r="D4" s="30" t="s">
        <v>61</v>
      </c>
    </row>
    <row r="5" spans="1:10" x14ac:dyDescent="0.35">
      <c r="A5" s="30" t="s">
        <v>62</v>
      </c>
      <c r="B5" s="30" t="s">
        <v>63</v>
      </c>
      <c r="C5" s="32">
        <v>41257</v>
      </c>
      <c r="D5" s="30" t="s">
        <v>64</v>
      </c>
    </row>
    <row r="6" spans="1:10" x14ac:dyDescent="0.35">
      <c r="A6" s="30" t="s">
        <v>56</v>
      </c>
      <c r="B6" s="30" t="s">
        <v>57</v>
      </c>
      <c r="C6" s="32">
        <v>24158</v>
      </c>
      <c r="D6" s="30" t="s">
        <v>53</v>
      </c>
    </row>
    <row r="7" spans="1:10" x14ac:dyDescent="0.35">
      <c r="A7" s="30" t="s">
        <v>66</v>
      </c>
      <c r="B7" s="30" t="s">
        <v>67</v>
      </c>
      <c r="C7" s="32">
        <v>39892</v>
      </c>
      <c r="D7" s="30" t="s">
        <v>58</v>
      </c>
      <c r="G7" s="30" t="s">
        <v>70</v>
      </c>
      <c r="H7" s="30">
        <f>COUNTIFS(C2:C20,"&lt;20000")</f>
        <v>4</v>
      </c>
      <c r="J7" s="29" t="s">
        <v>188</v>
      </c>
    </row>
    <row r="8" spans="1:10" x14ac:dyDescent="0.35">
      <c r="A8" s="30" t="s">
        <v>68</v>
      </c>
      <c r="B8" s="30" t="s">
        <v>67</v>
      </c>
      <c r="C8" s="32">
        <v>50622</v>
      </c>
      <c r="D8" s="30" t="s">
        <v>61</v>
      </c>
    </row>
    <row r="9" spans="1:10" x14ac:dyDescent="0.35">
      <c r="A9" s="30" t="s">
        <v>68</v>
      </c>
      <c r="B9" s="30" t="s">
        <v>67</v>
      </c>
      <c r="C9" s="32">
        <v>16206</v>
      </c>
      <c r="D9" s="30" t="s">
        <v>64</v>
      </c>
    </row>
    <row r="10" spans="1:10" x14ac:dyDescent="0.35">
      <c r="A10" s="30" t="s">
        <v>51</v>
      </c>
      <c r="B10" s="30" t="s">
        <v>52</v>
      </c>
      <c r="C10" s="32">
        <v>48148</v>
      </c>
      <c r="D10" s="30" t="s">
        <v>53</v>
      </c>
    </row>
    <row r="11" spans="1:10" x14ac:dyDescent="0.35">
      <c r="A11" s="30" t="s">
        <v>69</v>
      </c>
      <c r="B11" s="30" t="s">
        <v>63</v>
      </c>
      <c r="C11" s="32">
        <v>15692</v>
      </c>
      <c r="D11" s="30" t="s">
        <v>58</v>
      </c>
      <c r="G11" s="30" t="s">
        <v>70</v>
      </c>
      <c r="H11" s="30">
        <f>COUNTIF(C2:C20,"&gt;30000")</f>
        <v>12</v>
      </c>
      <c r="J11" s="29" t="s">
        <v>189</v>
      </c>
    </row>
    <row r="12" spans="1:10" x14ac:dyDescent="0.35">
      <c r="A12" s="30" t="s">
        <v>69</v>
      </c>
      <c r="B12" s="30" t="s">
        <v>63</v>
      </c>
      <c r="C12" s="32">
        <v>34673</v>
      </c>
      <c r="D12" s="30" t="s">
        <v>61</v>
      </c>
    </row>
    <row r="13" spans="1:10" x14ac:dyDescent="0.35">
      <c r="A13" s="30" t="s">
        <v>71</v>
      </c>
      <c r="B13" s="30" t="s">
        <v>63</v>
      </c>
      <c r="C13" s="32">
        <v>49765</v>
      </c>
      <c r="D13" s="30" t="s">
        <v>64</v>
      </c>
    </row>
    <row r="14" spans="1:10" x14ac:dyDescent="0.35">
      <c r="A14" s="30" t="s">
        <v>72</v>
      </c>
      <c r="B14" s="30" t="s">
        <v>63</v>
      </c>
      <c r="C14" s="32">
        <v>46794</v>
      </c>
      <c r="D14" s="30" t="s">
        <v>53</v>
      </c>
    </row>
    <row r="15" spans="1:10" x14ac:dyDescent="0.35">
      <c r="A15" s="30" t="s">
        <v>71</v>
      </c>
      <c r="B15" s="30" t="s">
        <v>63</v>
      </c>
      <c r="C15" s="32">
        <v>33855</v>
      </c>
      <c r="D15" s="30" t="s">
        <v>58</v>
      </c>
      <c r="G15" s="30" t="s">
        <v>73</v>
      </c>
      <c r="H15" s="30">
        <f>SUMIF(A2:A20,"Mumbai",C2:C20)</f>
        <v>131797</v>
      </c>
      <c r="J15" s="29" t="s">
        <v>65</v>
      </c>
    </row>
    <row r="16" spans="1:10" x14ac:dyDescent="0.35">
      <c r="A16" s="30" t="s">
        <v>56</v>
      </c>
      <c r="B16" s="30" t="s">
        <v>57</v>
      </c>
      <c r="C16" s="32">
        <v>19786</v>
      </c>
      <c r="D16" s="30" t="s">
        <v>61</v>
      </c>
    </row>
    <row r="17" spans="1:4" x14ac:dyDescent="0.35">
      <c r="A17" s="30" t="s">
        <v>71</v>
      </c>
      <c r="B17" s="30" t="s">
        <v>63</v>
      </c>
      <c r="C17" s="32">
        <v>38416</v>
      </c>
      <c r="D17" s="30" t="s">
        <v>64</v>
      </c>
    </row>
    <row r="18" spans="1:4" x14ac:dyDescent="0.35">
      <c r="A18" s="30" t="s">
        <v>51</v>
      </c>
      <c r="B18" s="30" t="s">
        <v>52</v>
      </c>
      <c r="C18" s="32">
        <v>39770</v>
      </c>
      <c r="D18" s="30" t="s">
        <v>75</v>
      </c>
    </row>
    <row r="19" spans="1:4" x14ac:dyDescent="0.35">
      <c r="A19" s="30" t="s">
        <v>51</v>
      </c>
      <c r="B19" s="30" t="s">
        <v>52</v>
      </c>
      <c r="C19" s="32">
        <v>19019</v>
      </c>
      <c r="D19" s="30" t="s">
        <v>64</v>
      </c>
    </row>
    <row r="20" spans="1:4" x14ac:dyDescent="0.35">
      <c r="A20" s="30" t="s">
        <v>77</v>
      </c>
      <c r="B20" s="30" t="s">
        <v>52</v>
      </c>
      <c r="C20" s="32">
        <v>40300</v>
      </c>
      <c r="D20" s="30" t="s">
        <v>75</v>
      </c>
    </row>
    <row r="21" spans="1:4" ht="20.399999999999999" x14ac:dyDescent="0.35">
      <c r="A21"/>
      <c r="B21"/>
      <c r="C21"/>
      <c r="D21"/>
    </row>
  </sheetData>
  <dataValidations count="1">
    <dataValidation type="custom" operator="greaterThanOrEqual" allowBlank="1" showInputMessage="1" showErrorMessage="1" sqref="C2:C20" xr:uid="{F21D347D-F923-4796-A251-4A519C1FADFF}">
      <formula1>ISNUMBER(C2)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ACA9-DCF6-4EBB-BCEA-5A71068B09A9}">
  <dimension ref="A2:K18"/>
  <sheetViews>
    <sheetView topLeftCell="A7" workbookViewId="0">
      <selection activeCell="L19" sqref="L19"/>
    </sheetView>
  </sheetViews>
  <sheetFormatPr defaultRowHeight="20.399999999999999" x14ac:dyDescent="0.35"/>
  <cols>
    <col min="2" max="2" width="9" bestFit="1" customWidth="1"/>
    <col min="3" max="3" width="9.59765625" bestFit="1" customWidth="1"/>
    <col min="6" max="6" width="9" bestFit="1" customWidth="1"/>
    <col min="7" max="7" width="9.59765625" bestFit="1" customWidth="1"/>
    <col min="10" max="10" width="10.1328125" customWidth="1"/>
    <col min="11" max="11" width="10.3984375" customWidth="1"/>
  </cols>
  <sheetData>
    <row r="2" spans="1:11" x14ac:dyDescent="0.35">
      <c r="A2" s="44" t="s">
        <v>239</v>
      </c>
      <c r="B2" s="44" t="s">
        <v>240</v>
      </c>
      <c r="C2" s="44" t="s">
        <v>241</v>
      </c>
      <c r="E2" s="44" t="s">
        <v>239</v>
      </c>
      <c r="F2" s="44" t="s">
        <v>240</v>
      </c>
      <c r="G2" s="44" t="s">
        <v>241</v>
      </c>
      <c r="I2" s="44" t="s">
        <v>239</v>
      </c>
      <c r="J2" s="44" t="s">
        <v>240</v>
      </c>
      <c r="K2" s="44" t="s">
        <v>241</v>
      </c>
    </row>
    <row r="3" spans="1:11" x14ac:dyDescent="0.35">
      <c r="A3" s="45" t="s">
        <v>242</v>
      </c>
      <c r="B3" s="45" t="s">
        <v>243</v>
      </c>
      <c r="C3" s="45">
        <f>6960-2345</f>
        <v>4615</v>
      </c>
      <c r="E3" s="45" t="s">
        <v>242</v>
      </c>
      <c r="F3" s="45" t="s">
        <v>243</v>
      </c>
      <c r="G3" s="45">
        <f>6960-2345</f>
        <v>4615</v>
      </c>
      <c r="I3" s="45" t="s">
        <v>242</v>
      </c>
      <c r="J3" s="45" t="s">
        <v>243</v>
      </c>
      <c r="K3" s="45">
        <f>6960-2345</f>
        <v>4615</v>
      </c>
    </row>
    <row r="4" spans="1:11" x14ac:dyDescent="0.35">
      <c r="A4" s="45" t="s">
        <v>244</v>
      </c>
      <c r="B4" s="45" t="s">
        <v>245</v>
      </c>
      <c r="C4" s="45">
        <v>2345</v>
      </c>
      <c r="E4" s="45" t="s">
        <v>244</v>
      </c>
      <c r="F4" s="45" t="s">
        <v>245</v>
      </c>
      <c r="G4" s="45">
        <v>2345</v>
      </c>
      <c r="I4" s="45" t="s">
        <v>244</v>
      </c>
      <c r="J4" s="45" t="s">
        <v>245</v>
      </c>
      <c r="K4" s="45">
        <v>2345</v>
      </c>
    </row>
    <row r="5" spans="1:11" x14ac:dyDescent="0.35">
      <c r="A5" s="45" t="s">
        <v>242</v>
      </c>
      <c r="B5" s="45" t="s">
        <v>246</v>
      </c>
      <c r="C5" s="45">
        <v>11282</v>
      </c>
      <c r="E5" s="45" t="s">
        <v>242</v>
      </c>
      <c r="F5" s="45" t="s">
        <v>246</v>
      </c>
      <c r="G5" s="45">
        <v>11282</v>
      </c>
      <c r="I5" s="45" t="s">
        <v>242</v>
      </c>
      <c r="J5" s="45" t="s">
        <v>246</v>
      </c>
      <c r="K5" s="45">
        <v>11282</v>
      </c>
    </row>
    <row r="6" spans="1:11" x14ac:dyDescent="0.35">
      <c r="A6" s="45" t="s">
        <v>244</v>
      </c>
      <c r="B6" s="45" t="s">
        <v>247</v>
      </c>
      <c r="C6" s="45">
        <v>4159</v>
      </c>
      <c r="E6" s="45" t="s">
        <v>244</v>
      </c>
      <c r="F6" s="45" t="s">
        <v>247</v>
      </c>
      <c r="G6" s="45">
        <v>4159</v>
      </c>
      <c r="I6" s="45" t="s">
        <v>244</v>
      </c>
      <c r="J6" s="45" t="s">
        <v>247</v>
      </c>
      <c r="K6" s="45">
        <v>4159</v>
      </c>
    </row>
    <row r="7" spans="1:11" x14ac:dyDescent="0.35">
      <c r="A7" s="45" t="s">
        <v>248</v>
      </c>
      <c r="B7" s="45" t="s">
        <v>249</v>
      </c>
      <c r="C7" s="45">
        <v>7802</v>
      </c>
      <c r="E7" s="45" t="s">
        <v>248</v>
      </c>
      <c r="F7" s="45" t="s">
        <v>249</v>
      </c>
      <c r="G7" s="45">
        <v>7802</v>
      </c>
      <c r="I7" s="45" t="s">
        <v>248</v>
      </c>
      <c r="J7" s="45" t="s">
        <v>249</v>
      </c>
      <c r="K7" s="45">
        <v>7802</v>
      </c>
    </row>
    <row r="8" spans="1:11" x14ac:dyDescent="0.35">
      <c r="A8" s="45" t="s">
        <v>242</v>
      </c>
      <c r="B8" s="45" t="s">
        <v>250</v>
      </c>
      <c r="C8" s="45">
        <v>8486</v>
      </c>
      <c r="E8" s="45" t="s">
        <v>242</v>
      </c>
      <c r="F8" s="45" t="s">
        <v>250</v>
      </c>
      <c r="G8" s="45">
        <v>8486</v>
      </c>
      <c r="I8" s="45" t="s">
        <v>242</v>
      </c>
      <c r="J8" s="45" t="s">
        <v>250</v>
      </c>
      <c r="K8" s="45">
        <v>8486</v>
      </c>
    </row>
    <row r="9" spans="1:11" x14ac:dyDescent="0.35">
      <c r="A9" s="45" t="s">
        <v>244</v>
      </c>
      <c r="B9" s="45" t="s">
        <v>251</v>
      </c>
      <c r="C9" s="45">
        <v>3384</v>
      </c>
      <c r="E9" s="45" t="s">
        <v>244</v>
      </c>
      <c r="F9" s="45" t="s">
        <v>251</v>
      </c>
      <c r="G9" s="45">
        <v>3384</v>
      </c>
      <c r="I9" s="45" t="s">
        <v>244</v>
      </c>
      <c r="J9" s="45" t="s">
        <v>251</v>
      </c>
      <c r="K9" s="45">
        <v>3384</v>
      </c>
    </row>
    <row r="10" spans="1:11" x14ac:dyDescent="0.35">
      <c r="A10" s="45" t="s">
        <v>248</v>
      </c>
      <c r="B10" s="45" t="s">
        <v>252</v>
      </c>
      <c r="C10" s="45">
        <v>3422</v>
      </c>
      <c r="E10" s="45" t="s">
        <v>248</v>
      </c>
      <c r="F10" s="45" t="s">
        <v>252</v>
      </c>
      <c r="G10" s="45">
        <v>3422</v>
      </c>
      <c r="I10" s="45" t="s">
        <v>248</v>
      </c>
      <c r="J10" s="45" t="s">
        <v>252</v>
      </c>
      <c r="K10" s="45">
        <v>3422</v>
      </c>
    </row>
    <row r="11" spans="1:11" x14ac:dyDescent="0.35">
      <c r="A11" s="46"/>
      <c r="B11" s="46"/>
      <c r="C11" s="46"/>
      <c r="E11" s="46"/>
      <c r="F11" s="46"/>
      <c r="G11" s="46"/>
      <c r="I11" s="46"/>
      <c r="J11" s="46"/>
      <c r="K11" s="46"/>
    </row>
    <row r="12" spans="1:11" x14ac:dyDescent="0.35">
      <c r="A12" s="60" t="s">
        <v>255</v>
      </c>
      <c r="B12" s="61"/>
      <c r="C12" s="64">
        <f>COUNTIF(A3:A10,"ben")</f>
        <v>3</v>
      </c>
      <c r="E12" s="60" t="s">
        <v>253</v>
      </c>
      <c r="F12" s="61"/>
      <c r="G12" s="64">
        <f>SUMIF(E3:E10,"ben",G2:G10)</f>
        <v>10147</v>
      </c>
      <c r="I12" s="60" t="s">
        <v>257</v>
      </c>
      <c r="J12" s="61"/>
      <c r="K12" s="64">
        <f>AVERAGEIF(I3:I10,"ben",K3:K10)</f>
        <v>8127.666666666667</v>
      </c>
    </row>
    <row r="13" spans="1:11" x14ac:dyDescent="0.35">
      <c r="A13" s="62"/>
      <c r="B13" s="63"/>
      <c r="C13" s="65"/>
      <c r="E13" s="62"/>
      <c r="F13" s="63"/>
      <c r="G13" s="65"/>
      <c r="I13" s="62"/>
      <c r="J13" s="63"/>
      <c r="K13" s="65"/>
    </row>
    <row r="14" spans="1:11" x14ac:dyDescent="0.35">
      <c r="A14" s="46"/>
      <c r="B14" s="46"/>
      <c r="C14" s="46"/>
      <c r="E14" s="46"/>
      <c r="F14" s="46"/>
      <c r="G14" s="46"/>
      <c r="I14" s="46"/>
      <c r="J14" s="46"/>
      <c r="K14" s="46"/>
    </row>
    <row r="15" spans="1:11" ht="20.399999999999999" customHeight="1" x14ac:dyDescent="0.35">
      <c r="A15" s="60" t="s">
        <v>256</v>
      </c>
      <c r="B15" s="61"/>
      <c r="C15" s="64">
        <f>COUNTIF(A3:A10,"Ben")+COUNTIF(A3:A10,"Jenny")</f>
        <v>5</v>
      </c>
      <c r="E15" s="60" t="s">
        <v>254</v>
      </c>
      <c r="F15" s="61"/>
      <c r="G15" s="64">
        <f>SUMIF(E3:E10,"Ben",G3:G10)+SUMIF(E3:E10,"Jenny",G3:G10)</f>
        <v>35607</v>
      </c>
      <c r="I15" s="60" t="s">
        <v>258</v>
      </c>
      <c r="J15" s="61"/>
      <c r="K15" s="64">
        <f>AVERAGEIF(I3:I10,"ben",K3:K10)+AVERAGEIF(I3:I10,"Jenny",K3:K10)</f>
        <v>13739.666666666668</v>
      </c>
    </row>
    <row r="16" spans="1:11" x14ac:dyDescent="0.35">
      <c r="A16" s="62"/>
      <c r="B16" s="63"/>
      <c r="C16" s="65"/>
      <c r="E16" s="62"/>
      <c r="F16" s="63"/>
      <c r="G16" s="65"/>
      <c r="I16" s="62"/>
      <c r="J16" s="63"/>
      <c r="K16" s="65"/>
    </row>
    <row r="18" spans="1:11" x14ac:dyDescent="0.35">
      <c r="A18" t="str">
        <f ca="1">_xlfn.FORMULATEXT(C12)</f>
        <v>=COUNTIF(A3:A10,"ben")</v>
      </c>
      <c r="G18" t="str">
        <f ca="1">_xlfn.FORMULATEXT(G12)</f>
        <v>=SUMIF(E3:E10,"ben",G2:G10)</v>
      </c>
      <c r="K18" t="str">
        <f ca="1">_xlfn.FORMULATEXT(K12)</f>
        <v>=AVERAGEIF(I3:I10,"ben",K3:K10)</v>
      </c>
    </row>
  </sheetData>
  <mergeCells count="12">
    <mergeCell ref="A15:B16"/>
    <mergeCell ref="C15:C16"/>
    <mergeCell ref="I12:J13"/>
    <mergeCell ref="K12:K13"/>
    <mergeCell ref="I15:J16"/>
    <mergeCell ref="K15:K16"/>
    <mergeCell ref="E12:F13"/>
    <mergeCell ref="G12:G13"/>
    <mergeCell ref="E15:F16"/>
    <mergeCell ref="G15:G16"/>
    <mergeCell ref="A12:B13"/>
    <mergeCell ref="C12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B18-F52A-4F59-B065-D4939ABB03D8}">
  <dimension ref="A1:N21"/>
  <sheetViews>
    <sheetView topLeftCell="A6" workbookViewId="0">
      <selection activeCell="P9" sqref="P9"/>
    </sheetView>
  </sheetViews>
  <sheetFormatPr defaultRowHeight="19.2" x14ac:dyDescent="0.35"/>
  <cols>
    <col min="1" max="1" width="8.796875" style="29" bestFit="1" customWidth="1"/>
    <col min="2" max="2" width="6.06640625" style="29" bestFit="1" customWidth="1"/>
    <col min="3" max="3" width="9.86328125" style="29" bestFit="1" customWidth="1"/>
    <col min="4" max="4" width="9.9296875" style="29" bestFit="1" customWidth="1"/>
    <col min="5" max="5" width="9.06640625" style="29"/>
    <col min="6" max="6" width="9.9296875" style="29" bestFit="1" customWidth="1"/>
    <col min="7" max="16384" width="9.06640625" style="29"/>
  </cols>
  <sheetData>
    <row r="1" spans="1:14" ht="20.399999999999999" customHeight="1" x14ac:dyDescent="0.35">
      <c r="A1" s="37" t="s">
        <v>47</v>
      </c>
      <c r="B1" s="37" t="s">
        <v>48</v>
      </c>
      <c r="C1" s="37" t="s">
        <v>49</v>
      </c>
      <c r="D1" s="38" t="s">
        <v>50</v>
      </c>
      <c r="F1" s="66" t="s">
        <v>81</v>
      </c>
      <c r="G1" s="66"/>
      <c r="H1" s="66"/>
      <c r="I1" s="66"/>
      <c r="J1" s="66"/>
      <c r="K1"/>
    </row>
    <row r="2" spans="1:14" ht="20.399999999999999" x14ac:dyDescent="0.35">
      <c r="A2" s="30" t="s">
        <v>51</v>
      </c>
      <c r="B2" s="30" t="s">
        <v>84</v>
      </c>
      <c r="C2" s="32">
        <v>24860</v>
      </c>
      <c r="D2" s="30" t="s">
        <v>53</v>
      </c>
      <c r="F2" s="66"/>
      <c r="G2" s="66"/>
      <c r="H2" s="66"/>
      <c r="I2" s="66"/>
      <c r="J2" s="66"/>
      <c r="K2"/>
      <c r="M2" s="29" t="s">
        <v>312</v>
      </c>
      <c r="N2" s="29" t="s">
        <v>317</v>
      </c>
    </row>
    <row r="3" spans="1:14" ht="19.2" customHeight="1" x14ac:dyDescent="0.35">
      <c r="A3" s="30" t="s">
        <v>56</v>
      </c>
      <c r="B3" s="30" t="s">
        <v>85</v>
      </c>
      <c r="C3" s="32">
        <v>21006</v>
      </c>
      <c r="D3" s="30" t="s">
        <v>58</v>
      </c>
      <c r="F3"/>
      <c r="G3"/>
      <c r="K3"/>
      <c r="M3" s="29" t="s">
        <v>313</v>
      </c>
      <c r="N3" s="29" t="s">
        <v>317</v>
      </c>
    </row>
    <row r="4" spans="1:14" x14ac:dyDescent="0.35">
      <c r="A4" s="30" t="s">
        <v>60</v>
      </c>
      <c r="B4" s="30" t="s">
        <v>85</v>
      </c>
      <c r="C4" s="32">
        <v>36750</v>
      </c>
      <c r="D4" s="30" t="s">
        <v>61</v>
      </c>
      <c r="F4" s="32" t="s">
        <v>50</v>
      </c>
      <c r="G4" s="30" t="s">
        <v>84</v>
      </c>
      <c r="M4" s="29" t="s">
        <v>314</v>
      </c>
      <c r="N4" s="29" t="s">
        <v>317</v>
      </c>
    </row>
    <row r="5" spans="1:14" ht="38.4" x14ac:dyDescent="0.35">
      <c r="A5" s="30" t="s">
        <v>62</v>
      </c>
      <c r="B5" s="30" t="s">
        <v>86</v>
      </c>
      <c r="C5" s="32">
        <v>41257</v>
      </c>
      <c r="D5" s="30" t="s">
        <v>64</v>
      </c>
      <c r="F5" s="30" t="s">
        <v>53</v>
      </c>
      <c r="G5" s="30">
        <f>COUNTIFS($D$1:$D$20,F5,$B$1:$B$20,$G$4)</f>
        <v>2</v>
      </c>
      <c r="L5" s="52" t="s">
        <v>318</v>
      </c>
      <c r="M5" s="50" t="s">
        <v>315</v>
      </c>
      <c r="N5" s="29" t="s">
        <v>317</v>
      </c>
    </row>
    <row r="6" spans="1:14" ht="38.4" x14ac:dyDescent="0.35">
      <c r="A6" s="30" t="s">
        <v>56</v>
      </c>
      <c r="B6" s="30" t="s">
        <v>85</v>
      </c>
      <c r="C6" s="32">
        <v>24158</v>
      </c>
      <c r="D6" s="30" t="s">
        <v>53</v>
      </c>
      <c r="F6" s="30" t="s">
        <v>58</v>
      </c>
      <c r="G6" s="30">
        <f t="shared" ref="G6:G9" si="0">COUNTIFS($D$1:$D$20,F6,$B$1:$B$20,$G$4)</f>
        <v>0</v>
      </c>
      <c r="L6" s="51" t="s">
        <v>318</v>
      </c>
      <c r="M6" s="50" t="s">
        <v>316</v>
      </c>
      <c r="N6" s="29" t="s">
        <v>317</v>
      </c>
    </row>
    <row r="7" spans="1:14" x14ac:dyDescent="0.35">
      <c r="A7" s="30" t="s">
        <v>66</v>
      </c>
      <c r="B7" s="30" t="s">
        <v>87</v>
      </c>
      <c r="C7" s="32">
        <v>39892</v>
      </c>
      <c r="D7" s="30" t="s">
        <v>58</v>
      </c>
      <c r="F7" s="30" t="s">
        <v>61</v>
      </c>
      <c r="G7" s="30">
        <f t="shared" si="0"/>
        <v>0</v>
      </c>
    </row>
    <row r="8" spans="1:14" x14ac:dyDescent="0.35">
      <c r="A8" s="30" t="s">
        <v>68</v>
      </c>
      <c r="B8" s="30" t="s">
        <v>87</v>
      </c>
      <c r="C8" s="32">
        <v>50622</v>
      </c>
      <c r="D8" s="30" t="s">
        <v>61</v>
      </c>
      <c r="F8" s="30" t="s">
        <v>64</v>
      </c>
      <c r="G8" s="30">
        <f t="shared" si="0"/>
        <v>1</v>
      </c>
    </row>
    <row r="9" spans="1:14" x14ac:dyDescent="0.35">
      <c r="A9" s="30" t="s">
        <v>68</v>
      </c>
      <c r="B9" s="30" t="s">
        <v>87</v>
      </c>
      <c r="C9" s="32">
        <v>16206</v>
      </c>
      <c r="D9" s="30" t="s">
        <v>64</v>
      </c>
      <c r="F9" s="30" t="s">
        <v>75</v>
      </c>
      <c r="G9" s="30">
        <f t="shared" si="0"/>
        <v>2</v>
      </c>
      <c r="M9" s="29" t="s">
        <v>319</v>
      </c>
      <c r="N9" s="29" t="s">
        <v>324</v>
      </c>
    </row>
    <row r="10" spans="1:14" x14ac:dyDescent="0.35">
      <c r="A10" s="30" t="s">
        <v>51</v>
      </c>
      <c r="B10" s="30" t="s">
        <v>84</v>
      </c>
      <c r="C10" s="32">
        <v>48148</v>
      </c>
      <c r="D10" s="30" t="s">
        <v>53</v>
      </c>
      <c r="M10" s="29" t="s">
        <v>320</v>
      </c>
      <c r="N10" s="29" t="s">
        <v>324</v>
      </c>
    </row>
    <row r="11" spans="1:14" x14ac:dyDescent="0.35">
      <c r="A11" s="30" t="s">
        <v>69</v>
      </c>
      <c r="B11" s="30" t="s">
        <v>86</v>
      </c>
      <c r="C11" s="32">
        <v>15692</v>
      </c>
      <c r="D11" s="30" t="s">
        <v>58</v>
      </c>
      <c r="F11" s="66" t="s">
        <v>82</v>
      </c>
      <c r="G11" s="66"/>
      <c r="H11" s="66"/>
      <c r="I11" s="66"/>
      <c r="J11" s="66"/>
      <c r="M11" s="29" t="s">
        <v>321</v>
      </c>
      <c r="N11" s="29" t="s">
        <v>324</v>
      </c>
    </row>
    <row r="12" spans="1:14" x14ac:dyDescent="0.35">
      <c r="A12" s="30" t="s">
        <v>69</v>
      </c>
      <c r="B12" s="30" t="s">
        <v>86</v>
      </c>
      <c r="C12" s="32">
        <v>34673</v>
      </c>
      <c r="D12" s="30" t="s">
        <v>61</v>
      </c>
      <c r="F12" s="66"/>
      <c r="G12" s="66"/>
      <c r="H12" s="66"/>
      <c r="I12" s="66"/>
      <c r="J12" s="66"/>
      <c r="M12" s="50" t="s">
        <v>322</v>
      </c>
      <c r="N12" s="29" t="s">
        <v>324</v>
      </c>
    </row>
    <row r="13" spans="1:14" x14ac:dyDescent="0.35">
      <c r="A13" s="30" t="s">
        <v>71</v>
      </c>
      <c r="B13" s="30" t="s">
        <v>86</v>
      </c>
      <c r="C13" s="32">
        <v>49765</v>
      </c>
      <c r="D13" s="30" t="s">
        <v>64</v>
      </c>
      <c r="M13" s="50" t="s">
        <v>323</v>
      </c>
      <c r="N13" s="29" t="s">
        <v>324</v>
      </c>
    </row>
    <row r="14" spans="1:14" ht="20.399999999999999" customHeight="1" x14ac:dyDescent="0.35">
      <c r="A14" s="30" t="s">
        <v>72</v>
      </c>
      <c r="B14" s="30" t="s">
        <v>86</v>
      </c>
      <c r="C14" s="32">
        <v>46794</v>
      </c>
      <c r="D14" s="30" t="s">
        <v>53</v>
      </c>
      <c r="F14" s="32" t="s">
        <v>50</v>
      </c>
      <c r="G14" s="30" t="s">
        <v>84</v>
      </c>
      <c r="M14" s="29" t="s">
        <v>325</v>
      </c>
    </row>
    <row r="15" spans="1:14" x14ac:dyDescent="0.35">
      <c r="A15" s="30" t="s">
        <v>71</v>
      </c>
      <c r="B15" s="30" t="s">
        <v>86</v>
      </c>
      <c r="C15" s="32">
        <v>33855</v>
      </c>
      <c r="D15" s="30" t="s">
        <v>58</v>
      </c>
      <c r="F15" s="30" t="s">
        <v>53</v>
      </c>
      <c r="G15" s="30">
        <f>SUMIFS($C$1:$C$20,$D$1:$D$20,F15,$B$1:$B$20,G14)</f>
        <v>73008</v>
      </c>
      <c r="M15" s="29" t="s">
        <v>325</v>
      </c>
    </row>
    <row r="16" spans="1:14" x14ac:dyDescent="0.35">
      <c r="A16" s="30" t="s">
        <v>56</v>
      </c>
      <c r="B16" s="30" t="s">
        <v>85</v>
      </c>
      <c r="C16" s="32">
        <v>19786</v>
      </c>
      <c r="D16" s="30" t="s">
        <v>61</v>
      </c>
      <c r="F16" s="30" t="s">
        <v>58</v>
      </c>
      <c r="G16" s="30">
        <f t="shared" ref="G16:G19" si="1">SUMIFS($C$1:$C$20,$D$1:$D$20,F16,$B$1:$B$20,G15)</f>
        <v>0</v>
      </c>
    </row>
    <row r="17" spans="1:7" x14ac:dyDescent="0.35">
      <c r="A17" s="30" t="s">
        <v>71</v>
      </c>
      <c r="B17" s="30" t="s">
        <v>86</v>
      </c>
      <c r="C17" s="32">
        <v>38416</v>
      </c>
      <c r="D17" s="30" t="s">
        <v>64</v>
      </c>
      <c r="F17" s="30" t="s">
        <v>61</v>
      </c>
      <c r="G17" s="30">
        <f t="shared" si="1"/>
        <v>0</v>
      </c>
    </row>
    <row r="18" spans="1:7" x14ac:dyDescent="0.35">
      <c r="A18" s="30" t="s">
        <v>51</v>
      </c>
      <c r="B18" s="30" t="s">
        <v>84</v>
      </c>
      <c r="C18" s="32">
        <v>39770</v>
      </c>
      <c r="D18" s="30" t="s">
        <v>75</v>
      </c>
      <c r="F18" s="30" t="s">
        <v>64</v>
      </c>
      <c r="G18" s="30">
        <f t="shared" si="1"/>
        <v>0</v>
      </c>
    </row>
    <row r="19" spans="1:7" x14ac:dyDescent="0.35">
      <c r="A19" s="30" t="s">
        <v>51</v>
      </c>
      <c r="B19" s="30" t="s">
        <v>84</v>
      </c>
      <c r="C19" s="32">
        <v>19019</v>
      </c>
      <c r="D19" s="30" t="s">
        <v>64</v>
      </c>
      <c r="F19" s="30" t="s">
        <v>75</v>
      </c>
      <c r="G19" s="30">
        <f t="shared" si="1"/>
        <v>0</v>
      </c>
    </row>
    <row r="20" spans="1:7" x14ac:dyDescent="0.35">
      <c r="A20" s="30" t="s">
        <v>77</v>
      </c>
      <c r="B20" s="30" t="s">
        <v>84</v>
      </c>
      <c r="C20" s="32">
        <v>40300</v>
      </c>
      <c r="D20" s="30" t="s">
        <v>75</v>
      </c>
    </row>
    <row r="21" spans="1:7" ht="20.399999999999999" x14ac:dyDescent="0.35">
      <c r="A21"/>
      <c r="B21"/>
      <c r="C21"/>
      <c r="D21"/>
    </row>
  </sheetData>
  <mergeCells count="2">
    <mergeCell ref="F1:J2"/>
    <mergeCell ref="F11:J12"/>
  </mergeCells>
  <dataValidations count="2">
    <dataValidation type="custom" operator="greaterThanOrEqual" allowBlank="1" showInputMessage="1" showErrorMessage="1" sqref="C2:C20" xr:uid="{C5D9708B-4D78-4323-B03D-C11BAE3A5EC3}">
      <formula1>ISNUMBER(C2)</formula1>
    </dataValidation>
    <dataValidation type="list" allowBlank="1" showInputMessage="1" showErrorMessage="1" sqref="G4 G14" xr:uid="{81572036-9F76-44B7-8457-22D44E10EA88}">
      <formula1>"West,South,East,North"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58F1-FFF4-44A3-9A56-C72AC7E0B47E}">
  <dimension ref="A1:V21"/>
  <sheetViews>
    <sheetView workbookViewId="0">
      <selection activeCell="G19" sqref="G19"/>
    </sheetView>
  </sheetViews>
  <sheetFormatPr defaultRowHeight="19.2" x14ac:dyDescent="0.35"/>
  <cols>
    <col min="1" max="1" width="8.796875" style="29" bestFit="1" customWidth="1"/>
    <col min="2" max="2" width="6.06640625" style="29" bestFit="1" customWidth="1"/>
    <col min="3" max="3" width="9.86328125" style="29" bestFit="1" customWidth="1"/>
    <col min="4" max="4" width="9.9296875" style="29" bestFit="1" customWidth="1"/>
    <col min="5" max="5" width="9.06640625" style="29"/>
    <col min="6" max="6" width="9.9296875" style="29" bestFit="1" customWidth="1"/>
    <col min="7" max="16384" width="9.06640625" style="29"/>
  </cols>
  <sheetData>
    <row r="1" spans="1:22" ht="20.399999999999999" customHeight="1" x14ac:dyDescent="0.35">
      <c r="A1" s="37" t="s">
        <v>47</v>
      </c>
      <c r="B1" s="37" t="s">
        <v>48</v>
      </c>
      <c r="C1" s="37" t="s">
        <v>49</v>
      </c>
      <c r="D1" s="38" t="s">
        <v>50</v>
      </c>
      <c r="F1" s="67" t="s">
        <v>81</v>
      </c>
      <c r="G1" s="67"/>
      <c r="I1" s="67" t="s">
        <v>82</v>
      </c>
      <c r="J1" s="67"/>
      <c r="K1"/>
      <c r="L1" s="67" t="s">
        <v>83</v>
      </c>
      <c r="M1" s="67"/>
      <c r="N1" s="67"/>
      <c r="P1" s="67" t="s">
        <v>88</v>
      </c>
      <c r="Q1" s="67"/>
      <c r="R1" s="67"/>
      <c r="T1" s="67" t="s">
        <v>89</v>
      </c>
      <c r="U1" s="67"/>
      <c r="V1" s="67"/>
    </row>
    <row r="2" spans="1:22" ht="20.399999999999999" x14ac:dyDescent="0.35">
      <c r="A2" s="30" t="s">
        <v>51</v>
      </c>
      <c r="B2" s="30" t="s">
        <v>84</v>
      </c>
      <c r="C2" s="32">
        <v>24860</v>
      </c>
      <c r="D2" s="30" t="s">
        <v>53</v>
      </c>
      <c r="F2" s="67"/>
      <c r="G2" s="67"/>
      <c r="I2" s="67"/>
      <c r="J2" s="67"/>
      <c r="K2"/>
      <c r="L2" s="67"/>
      <c r="M2" s="67"/>
      <c r="N2" s="67"/>
      <c r="P2" s="67"/>
      <c r="Q2" s="67"/>
      <c r="R2" s="67"/>
      <c r="T2" s="67"/>
      <c r="U2" s="67"/>
      <c r="V2" s="67"/>
    </row>
    <row r="3" spans="1:22" ht="20.399999999999999" x14ac:dyDescent="0.35">
      <c r="A3" s="30" t="s">
        <v>56</v>
      </c>
      <c r="B3" s="30" t="s">
        <v>85</v>
      </c>
      <c r="C3" s="32">
        <v>21006</v>
      </c>
      <c r="D3" s="30" t="s">
        <v>58</v>
      </c>
      <c r="F3" s="68"/>
      <c r="G3" s="68"/>
      <c r="I3" s="67"/>
      <c r="J3" s="67"/>
      <c r="K3"/>
      <c r="L3" s="67"/>
      <c r="M3" s="67"/>
      <c r="N3" s="67"/>
      <c r="P3" s="67"/>
      <c r="Q3" s="67"/>
      <c r="R3" s="67"/>
      <c r="T3" s="67"/>
      <c r="U3" s="67"/>
      <c r="V3" s="67"/>
    </row>
    <row r="4" spans="1:22" x14ac:dyDescent="0.35">
      <c r="A4" s="30" t="s">
        <v>60</v>
      </c>
      <c r="B4" s="30" t="s">
        <v>85</v>
      </c>
      <c r="C4" s="32">
        <v>36750</v>
      </c>
      <c r="D4" s="30" t="s">
        <v>61</v>
      </c>
    </row>
    <row r="5" spans="1:22" x14ac:dyDescent="0.35">
      <c r="A5" s="30" t="s">
        <v>62</v>
      </c>
      <c r="B5" s="30" t="s">
        <v>86</v>
      </c>
      <c r="C5" s="32">
        <v>41257</v>
      </c>
      <c r="D5" s="30" t="s">
        <v>64</v>
      </c>
      <c r="F5" s="32" t="s">
        <v>50</v>
      </c>
      <c r="G5" s="30" t="s">
        <v>84</v>
      </c>
      <c r="I5" s="32" t="s">
        <v>50</v>
      </c>
      <c r="J5" s="30" t="s">
        <v>84</v>
      </c>
      <c r="L5" s="32" t="s">
        <v>50</v>
      </c>
      <c r="M5" s="30" t="s">
        <v>84</v>
      </c>
      <c r="P5" s="32" t="s">
        <v>50</v>
      </c>
      <c r="Q5" s="30" t="s">
        <v>84</v>
      </c>
      <c r="R5" s="29" t="s">
        <v>335</v>
      </c>
      <c r="T5" s="32" t="s">
        <v>50</v>
      </c>
      <c r="U5" s="30" t="s">
        <v>84</v>
      </c>
    </row>
    <row r="6" spans="1:22" x14ac:dyDescent="0.35">
      <c r="A6" s="30" t="s">
        <v>56</v>
      </c>
      <c r="B6" s="30" t="s">
        <v>85</v>
      </c>
      <c r="C6" s="32">
        <v>24158</v>
      </c>
      <c r="D6" s="30" t="s">
        <v>53</v>
      </c>
      <c r="F6" s="30" t="s">
        <v>53</v>
      </c>
      <c r="G6" s="30">
        <f>COUNTIFS(Department,F6,Region,$G$5)</f>
        <v>2</v>
      </c>
      <c r="I6" s="30" t="s">
        <v>53</v>
      </c>
      <c r="J6" s="30">
        <f>SUMIFS(Salary,Department,I6,Region,$J$5)</f>
        <v>73008</v>
      </c>
      <c r="L6" s="30" t="s">
        <v>53</v>
      </c>
      <c r="M6" s="30">
        <f>AVERAGEIFS(Salary,Department,L6,Region,$M$5)</f>
        <v>36504</v>
      </c>
      <c r="P6" s="30" t="s">
        <v>53</v>
      </c>
      <c r="Q6" s="30">
        <f>_xlfn.MINIFS(Salary,Department,P6,Region,$Q$5)</f>
        <v>24860</v>
      </c>
      <c r="T6" s="30" t="s">
        <v>53</v>
      </c>
      <c r="U6" s="30">
        <f>_xlfn.MAXIFS(Salary,Department,T6,Region,$U$5)</f>
        <v>48148</v>
      </c>
    </row>
    <row r="7" spans="1:22" x14ac:dyDescent="0.35">
      <c r="A7" s="30" t="s">
        <v>66</v>
      </c>
      <c r="B7" s="30" t="s">
        <v>87</v>
      </c>
      <c r="C7" s="32">
        <v>39892</v>
      </c>
      <c r="D7" s="30" t="s">
        <v>58</v>
      </c>
      <c r="F7" s="30" t="s">
        <v>58</v>
      </c>
      <c r="G7" s="30">
        <f>COUNTIFS(Department,F7,Region,$G$5)</f>
        <v>0</v>
      </c>
      <c r="I7" s="30" t="s">
        <v>58</v>
      </c>
      <c r="J7" s="30">
        <f>SUMIFS(Salary,Department,I7,Region,$J$5)</f>
        <v>0</v>
      </c>
      <c r="L7" s="30" t="s">
        <v>58</v>
      </c>
      <c r="M7" s="30" t="e">
        <f>AVERAGEIFS(Salary,Department,L7,Region,$M$5)</f>
        <v>#DIV/0!</v>
      </c>
      <c r="P7" s="30" t="s">
        <v>58</v>
      </c>
      <c r="Q7" s="30">
        <f>_xlfn.MINIFS(Salary,Department,P7,Region,$Q$5)</f>
        <v>0</v>
      </c>
      <c r="T7" s="30" t="s">
        <v>58</v>
      </c>
      <c r="U7" s="30">
        <f>_xlfn.MAXIFS(Salary,Department,T7,Region,$U$5)</f>
        <v>0</v>
      </c>
    </row>
    <row r="8" spans="1:22" x14ac:dyDescent="0.35">
      <c r="A8" s="30" t="s">
        <v>68</v>
      </c>
      <c r="B8" s="30" t="s">
        <v>87</v>
      </c>
      <c r="C8" s="32">
        <v>50622</v>
      </c>
      <c r="D8" s="30" t="s">
        <v>61</v>
      </c>
      <c r="F8" s="30" t="s">
        <v>61</v>
      </c>
      <c r="G8" s="30">
        <f>COUNTIFS(Department,F8,Region,$G$5)</f>
        <v>0</v>
      </c>
      <c r="I8" s="30" t="s">
        <v>61</v>
      </c>
      <c r="J8" s="30">
        <f>SUMIFS(Salary,Department,I8,Region,$J$5)</f>
        <v>0</v>
      </c>
      <c r="L8" s="30" t="s">
        <v>61</v>
      </c>
      <c r="M8" s="30" t="e">
        <f>AVERAGEIFS(Salary,Department,L8,Region,$M$5)</f>
        <v>#DIV/0!</v>
      </c>
      <c r="P8" s="30" t="s">
        <v>61</v>
      </c>
      <c r="Q8" s="30">
        <f>_xlfn.MINIFS(Salary,Department,P8,Region,$Q$5)</f>
        <v>0</v>
      </c>
      <c r="T8" s="30" t="s">
        <v>61</v>
      </c>
      <c r="U8" s="30">
        <f>_xlfn.MAXIFS(Salary,Department,T8,Region,$U$5)</f>
        <v>0</v>
      </c>
    </row>
    <row r="9" spans="1:22" x14ac:dyDescent="0.35">
      <c r="A9" s="30" t="s">
        <v>68</v>
      </c>
      <c r="B9" s="30" t="s">
        <v>87</v>
      </c>
      <c r="C9" s="32">
        <v>16206</v>
      </c>
      <c r="D9" s="30" t="s">
        <v>64</v>
      </c>
      <c r="F9" s="30" t="s">
        <v>64</v>
      </c>
      <c r="G9" s="30">
        <f>COUNTIFS(Department,F9,Region,$G$5)</f>
        <v>1</v>
      </c>
      <c r="I9" s="30" t="s">
        <v>64</v>
      </c>
      <c r="J9" s="30">
        <f>SUMIFS(Salary,Department,I9,Region,$J$5)</f>
        <v>19019</v>
      </c>
      <c r="L9" s="30" t="s">
        <v>64</v>
      </c>
      <c r="M9" s="30">
        <f>AVERAGEIFS(Salary,Department,L9,Region,$M$5)</f>
        <v>19019</v>
      </c>
      <c r="P9" s="30" t="s">
        <v>64</v>
      </c>
      <c r="Q9" s="30">
        <f>_xlfn.MINIFS(Salary,Department,P9,Region,$Q$5)</f>
        <v>19019</v>
      </c>
      <c r="T9" s="30" t="s">
        <v>64</v>
      </c>
      <c r="U9" s="30">
        <f>_xlfn.MAXIFS(Salary,Department,T9,Region,$U$5)</f>
        <v>19019</v>
      </c>
    </row>
    <row r="10" spans="1:22" x14ac:dyDescent="0.35">
      <c r="A10" s="30" t="s">
        <v>51</v>
      </c>
      <c r="B10" s="30" t="s">
        <v>84</v>
      </c>
      <c r="C10" s="32">
        <v>48148</v>
      </c>
      <c r="D10" s="30" t="s">
        <v>53</v>
      </c>
      <c r="F10" s="30" t="s">
        <v>75</v>
      </c>
      <c r="G10" s="30">
        <f>COUNTIFS(Department,F10,Region,$G$5)</f>
        <v>2</v>
      </c>
      <c r="I10" s="30" t="s">
        <v>75</v>
      </c>
      <c r="J10" s="30">
        <f>SUMIFS(Salary,Department,I10,Region,$J$5)</f>
        <v>80070</v>
      </c>
      <c r="L10" s="30" t="s">
        <v>75</v>
      </c>
      <c r="M10" s="30">
        <f>AVERAGEIFS(Salary,Department,L10,Region,$M$5)</f>
        <v>40035</v>
      </c>
      <c r="P10" s="30" t="s">
        <v>75</v>
      </c>
      <c r="Q10" s="30">
        <f>_xlfn.MINIFS(Salary,Department,P10,Region,$Q$5)</f>
        <v>39770</v>
      </c>
      <c r="T10" s="30" t="s">
        <v>75</v>
      </c>
      <c r="U10" s="30">
        <f>_xlfn.MAXIFS(Salary,Department,T10,Region,$U$5)</f>
        <v>40300</v>
      </c>
    </row>
    <row r="11" spans="1:22" x14ac:dyDescent="0.35">
      <c r="A11" s="30" t="s">
        <v>69</v>
      </c>
      <c r="B11" s="30" t="s">
        <v>86</v>
      </c>
      <c r="C11" s="32">
        <v>15692</v>
      </c>
      <c r="D11" s="30" t="s">
        <v>58</v>
      </c>
    </row>
    <row r="12" spans="1:22" x14ac:dyDescent="0.35">
      <c r="A12" s="30" t="s">
        <v>69</v>
      </c>
      <c r="B12" s="30" t="s">
        <v>86</v>
      </c>
      <c r="C12" s="32">
        <v>34673</v>
      </c>
      <c r="D12" s="30" t="s">
        <v>61</v>
      </c>
    </row>
    <row r="13" spans="1:22" x14ac:dyDescent="0.35">
      <c r="A13" s="30" t="s">
        <v>71</v>
      </c>
      <c r="B13" s="30" t="s">
        <v>86</v>
      </c>
      <c r="C13" s="32">
        <v>49765</v>
      </c>
      <c r="D13" s="30" t="s">
        <v>64</v>
      </c>
      <c r="G13" s="29" t="s">
        <v>326</v>
      </c>
      <c r="O13" s="29" t="s">
        <v>327</v>
      </c>
    </row>
    <row r="14" spans="1:22" ht="20.399999999999999" customHeight="1" x14ac:dyDescent="0.35">
      <c r="A14" s="30" t="s">
        <v>72</v>
      </c>
      <c r="B14" s="30" t="s">
        <v>86</v>
      </c>
      <c r="C14" s="32">
        <v>46794</v>
      </c>
      <c r="D14" s="30" t="s">
        <v>53</v>
      </c>
      <c r="G14" s="29" t="str">
        <f ca="1">_xlfn.FORMULATEXT(G6)</f>
        <v>=COUNTIFS(Department,F6,Region,$G$5)</v>
      </c>
    </row>
    <row r="15" spans="1:22" x14ac:dyDescent="0.35">
      <c r="A15" s="30" t="s">
        <v>71</v>
      </c>
      <c r="B15" s="30" t="s">
        <v>86</v>
      </c>
      <c r="C15" s="32">
        <v>33855</v>
      </c>
      <c r="D15" s="30" t="s">
        <v>58</v>
      </c>
      <c r="G15" s="29" t="str">
        <f ca="1">_xlfn.FORMULATEXT(J6)</f>
        <v>=SUMIFS(Salary,Department,I6,Region,$J$5)</v>
      </c>
    </row>
    <row r="16" spans="1:22" x14ac:dyDescent="0.35">
      <c r="A16" s="30" t="s">
        <v>56</v>
      </c>
      <c r="B16" s="30" t="s">
        <v>85</v>
      </c>
      <c r="C16" s="32">
        <v>19786</v>
      </c>
      <c r="D16" s="30" t="s">
        <v>61</v>
      </c>
      <c r="G16" s="29" t="str">
        <f ca="1">_xlfn.FORMULATEXT(M6)</f>
        <v>=AVERAGEIFS(Salary,Department,L6,Region,$M$5)</v>
      </c>
      <c r="O16" s="29" t="s">
        <v>328</v>
      </c>
    </row>
    <row r="17" spans="1:16" x14ac:dyDescent="0.35">
      <c r="A17" s="30" t="s">
        <v>71</v>
      </c>
      <c r="B17" s="30" t="s">
        <v>86</v>
      </c>
      <c r="C17" s="32">
        <v>38416</v>
      </c>
      <c r="D17" s="30" t="s">
        <v>64</v>
      </c>
      <c r="G17" s="29" t="str">
        <f ca="1">_xlfn.FORMULATEXT(Q6)</f>
        <v>=MINIFS(Salary,Department,P6,Region,$Q$5)</v>
      </c>
      <c r="O17" s="29" t="e">
        <v>#DIV/0!</v>
      </c>
      <c r="P17" s="29" t="s">
        <v>331</v>
      </c>
    </row>
    <row r="18" spans="1:16" x14ac:dyDescent="0.35">
      <c r="A18" s="30" t="s">
        <v>51</v>
      </c>
      <c r="B18" s="30" t="s">
        <v>84</v>
      </c>
      <c r="C18" s="32">
        <v>39770</v>
      </c>
      <c r="D18" s="30" t="s">
        <v>75</v>
      </c>
      <c r="G18" s="29" t="str">
        <f ca="1">_xlfn.FORMULATEXT(U6)</f>
        <v>=MAXIFS(Salary,Department,T6,Region,$U$5)</v>
      </c>
      <c r="O18" s="29" t="s">
        <v>329</v>
      </c>
      <c r="P18" s="29" t="s">
        <v>332</v>
      </c>
    </row>
    <row r="19" spans="1:16" x14ac:dyDescent="0.35">
      <c r="A19" s="30" t="s">
        <v>51</v>
      </c>
      <c r="B19" s="30" t="s">
        <v>84</v>
      </c>
      <c r="C19" s="32">
        <v>19019</v>
      </c>
      <c r="D19" s="30" t="s">
        <v>64</v>
      </c>
      <c r="O19" s="29" t="s">
        <v>330</v>
      </c>
      <c r="P19" s="29" t="s">
        <v>333</v>
      </c>
    </row>
    <row r="20" spans="1:16" x14ac:dyDescent="0.35">
      <c r="A20" s="30" t="s">
        <v>77</v>
      </c>
      <c r="B20" s="30" t="s">
        <v>84</v>
      </c>
      <c r="C20" s="32">
        <v>40300</v>
      </c>
      <c r="D20" s="30" t="s">
        <v>75</v>
      </c>
      <c r="O20" s="29" t="e">
        <v>#VALUE!</v>
      </c>
      <c r="P20" s="29" t="s">
        <v>334</v>
      </c>
    </row>
    <row r="21" spans="1:16" ht="20.399999999999999" x14ac:dyDescent="0.35">
      <c r="A21"/>
      <c r="B21"/>
      <c r="C21"/>
      <c r="D21"/>
    </row>
  </sheetData>
  <mergeCells count="5">
    <mergeCell ref="F1:G3"/>
    <mergeCell ref="L1:N3"/>
    <mergeCell ref="P1:R3"/>
    <mergeCell ref="T1:V3"/>
    <mergeCell ref="I1:J3"/>
  </mergeCells>
  <dataValidations count="2">
    <dataValidation type="custom" operator="greaterThanOrEqual" allowBlank="1" showInputMessage="1" showErrorMessage="1" sqref="C2:C20" xr:uid="{884ADE90-5BEA-45EE-937D-DBBF9AA6DF98}">
      <formula1>ISNUMBER(C2)</formula1>
    </dataValidation>
    <dataValidation type="list" allowBlank="1" showInputMessage="1" showErrorMessage="1" sqref="G5 J5 M5 Q5 U5" xr:uid="{A4306765-88EE-4052-97A9-E67B7A96DA64}">
      <formula1>"West,South,East,North"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AB12-87E1-48F0-96D7-3F1E1D7EE36C}">
  <dimension ref="A1:J30"/>
  <sheetViews>
    <sheetView topLeftCell="A10" workbookViewId="0">
      <selection activeCell="I22" sqref="I22"/>
    </sheetView>
  </sheetViews>
  <sheetFormatPr defaultRowHeight="19.2" x14ac:dyDescent="0.35"/>
  <cols>
    <col min="1" max="1" width="8.9296875" style="29" customWidth="1"/>
    <col min="2" max="2" width="9.06640625" style="29"/>
    <col min="3" max="3" width="8.33203125" style="29" customWidth="1"/>
    <col min="4" max="7" width="9.06640625" style="29"/>
    <col min="8" max="8" width="12.265625" style="29" bestFit="1" customWidth="1"/>
    <col min="9" max="16384" width="9.06640625" style="29"/>
  </cols>
  <sheetData>
    <row r="1" spans="1:10" x14ac:dyDescent="0.35">
      <c r="A1" s="33" t="s">
        <v>112</v>
      </c>
      <c r="B1" s="33" t="s">
        <v>91</v>
      </c>
      <c r="C1" s="33" t="s">
        <v>90</v>
      </c>
    </row>
    <row r="2" spans="1:10" x14ac:dyDescent="0.35">
      <c r="A2" s="30" t="s">
        <v>17</v>
      </c>
      <c r="B2" s="30">
        <v>16718</v>
      </c>
      <c r="C2" s="34">
        <f>RANK(B2,$B$2:$B$10)</f>
        <v>7</v>
      </c>
    </row>
    <row r="3" spans="1:10" x14ac:dyDescent="0.35">
      <c r="A3" s="30" t="s">
        <v>115</v>
      </c>
      <c r="B3" s="30">
        <v>12845</v>
      </c>
      <c r="C3" s="34">
        <f t="shared" ref="C3:C9" si="0">RANK(B3,$B$2:$B$10)</f>
        <v>8</v>
      </c>
    </row>
    <row r="4" spans="1:10" x14ac:dyDescent="0.35">
      <c r="A4" s="30" t="s">
        <v>190</v>
      </c>
      <c r="B4" s="30">
        <v>21790</v>
      </c>
      <c r="C4" s="34">
        <f t="shared" si="0"/>
        <v>6</v>
      </c>
    </row>
    <row r="5" spans="1:10" x14ac:dyDescent="0.35">
      <c r="A5" s="30" t="s">
        <v>191</v>
      </c>
      <c r="B5" s="30">
        <v>39012</v>
      </c>
      <c r="C5" s="34">
        <f t="shared" si="0"/>
        <v>3</v>
      </c>
    </row>
    <row r="6" spans="1:10" x14ac:dyDescent="0.35">
      <c r="A6" s="30" t="s">
        <v>26</v>
      </c>
      <c r="B6" s="30">
        <v>41654</v>
      </c>
      <c r="C6" s="34">
        <f t="shared" si="0"/>
        <v>2</v>
      </c>
    </row>
    <row r="7" spans="1:10" x14ac:dyDescent="0.35">
      <c r="A7" s="30" t="s">
        <v>192</v>
      </c>
      <c r="B7" s="30">
        <v>33407</v>
      </c>
      <c r="C7" s="34">
        <f t="shared" si="0"/>
        <v>5</v>
      </c>
    </row>
    <row r="8" spans="1:10" x14ac:dyDescent="0.35">
      <c r="A8" s="30" t="s">
        <v>193</v>
      </c>
      <c r="B8" s="30">
        <v>49180</v>
      </c>
      <c r="C8" s="34">
        <f t="shared" si="0"/>
        <v>1</v>
      </c>
    </row>
    <row r="9" spans="1:10" x14ac:dyDescent="0.35">
      <c r="A9" s="30" t="s">
        <v>29</v>
      </c>
      <c r="B9" s="30">
        <v>35057</v>
      </c>
      <c r="C9" s="34">
        <f t="shared" si="0"/>
        <v>4</v>
      </c>
    </row>
    <row r="10" spans="1:10" x14ac:dyDescent="0.35">
      <c r="F10" s="35" t="s">
        <v>93</v>
      </c>
    </row>
    <row r="11" spans="1:10" x14ac:dyDescent="0.35">
      <c r="F11" s="30">
        <v>4</v>
      </c>
      <c r="H11" s="29" t="s">
        <v>94</v>
      </c>
      <c r="I11" s="29">
        <f>AVERAGE(F11:F28)</f>
        <v>19.111111111111111</v>
      </c>
      <c r="J11" s="29" t="s">
        <v>95</v>
      </c>
    </row>
    <row r="12" spans="1:10" x14ac:dyDescent="0.35">
      <c r="F12" s="30">
        <v>7</v>
      </c>
      <c r="H12" s="29" t="s">
        <v>96</v>
      </c>
      <c r="I12" s="29">
        <f>MEDIAN(F11:F28)</f>
        <v>20</v>
      </c>
      <c r="J12" s="29" t="s">
        <v>97</v>
      </c>
    </row>
    <row r="13" spans="1:10" x14ac:dyDescent="0.35">
      <c r="A13" s="29" t="s">
        <v>98</v>
      </c>
      <c r="F13" s="30">
        <v>7</v>
      </c>
      <c r="H13" s="29" t="s">
        <v>99</v>
      </c>
      <c r="I13" s="29">
        <f>MODE(F11:F28)</f>
        <v>7</v>
      </c>
      <c r="J13" s="29" t="s">
        <v>100</v>
      </c>
    </row>
    <row r="14" spans="1:10" x14ac:dyDescent="0.35">
      <c r="A14" s="37" t="s">
        <v>101</v>
      </c>
      <c r="B14" s="37" t="s">
        <v>102</v>
      </c>
      <c r="C14" s="37" t="s">
        <v>92</v>
      </c>
      <c r="F14" s="30">
        <v>8</v>
      </c>
    </row>
    <row r="15" spans="1:10" x14ac:dyDescent="0.35">
      <c r="A15" s="30">
        <v>100</v>
      </c>
      <c r="B15" s="30">
        <v>25</v>
      </c>
      <c r="C15" s="30">
        <f>MOD(A15,B15)</f>
        <v>0</v>
      </c>
      <c r="F15" s="30">
        <v>12</v>
      </c>
    </row>
    <row r="16" spans="1:10" x14ac:dyDescent="0.35">
      <c r="A16" s="30">
        <v>36</v>
      </c>
      <c r="B16" s="30">
        <v>4</v>
      </c>
      <c r="C16" s="30">
        <f t="shared" ref="C16:C25" si="1">MOD(A16,B16)</f>
        <v>0</v>
      </c>
      <c r="F16" s="30">
        <v>13</v>
      </c>
    </row>
    <row r="17" spans="1:9" x14ac:dyDescent="0.35">
      <c r="A17" s="30">
        <v>15</v>
      </c>
      <c r="B17" s="30">
        <v>4</v>
      </c>
      <c r="C17" s="30">
        <f t="shared" si="1"/>
        <v>3</v>
      </c>
      <c r="F17" s="30">
        <v>15</v>
      </c>
    </row>
    <row r="18" spans="1:9" x14ac:dyDescent="0.35">
      <c r="A18" s="30">
        <v>8</v>
      </c>
      <c r="B18" s="30">
        <v>4</v>
      </c>
      <c r="C18" s="30">
        <f t="shared" si="1"/>
        <v>0</v>
      </c>
      <c r="F18" s="30">
        <v>17</v>
      </c>
    </row>
    <row r="19" spans="1:9" x14ac:dyDescent="0.35">
      <c r="A19" s="30">
        <v>8</v>
      </c>
      <c r="B19" s="30">
        <v>3</v>
      </c>
      <c r="C19" s="30">
        <f t="shared" si="1"/>
        <v>2</v>
      </c>
      <c r="F19" s="30">
        <v>19</v>
      </c>
      <c r="H19" s="29" t="s">
        <v>352</v>
      </c>
      <c r="I19" s="29">
        <f>AVERAGE(F11:F28)</f>
        <v>19.111111111111111</v>
      </c>
    </row>
    <row r="20" spans="1:9" x14ac:dyDescent="0.35">
      <c r="A20" s="30">
        <v>13</v>
      </c>
      <c r="B20" s="30">
        <v>3</v>
      </c>
      <c r="C20" s="30">
        <f t="shared" si="1"/>
        <v>1</v>
      </c>
      <c r="F20" s="30">
        <v>21</v>
      </c>
      <c r="H20" s="29" t="s">
        <v>353</v>
      </c>
      <c r="I20" s="29">
        <f>MEDIAN(F11:F28)</f>
        <v>20</v>
      </c>
    </row>
    <row r="21" spans="1:9" x14ac:dyDescent="0.35">
      <c r="A21" s="30">
        <v>0.75</v>
      </c>
      <c r="B21" s="30">
        <v>0.25</v>
      </c>
      <c r="C21" s="30">
        <f t="shared" si="1"/>
        <v>0</v>
      </c>
      <c r="F21" s="30">
        <v>22</v>
      </c>
      <c r="H21" s="29" t="s">
        <v>354</v>
      </c>
      <c r="I21" s="29">
        <f>MODE(F11:F28)</f>
        <v>7</v>
      </c>
    </row>
    <row r="22" spans="1:9" x14ac:dyDescent="0.35">
      <c r="A22" s="30">
        <v>0.75</v>
      </c>
      <c r="B22" s="30">
        <v>0.1</v>
      </c>
      <c r="C22" s="30">
        <f t="shared" si="1"/>
        <v>4.9999999999999961E-2</v>
      </c>
      <c r="F22" s="30">
        <v>24</v>
      </c>
    </row>
    <row r="23" spans="1:9" x14ac:dyDescent="0.35">
      <c r="A23" s="30">
        <v>-3</v>
      </c>
      <c r="B23" s="30">
        <v>2</v>
      </c>
      <c r="C23" s="30">
        <f t="shared" si="1"/>
        <v>1</v>
      </c>
      <c r="F23" s="30">
        <v>25</v>
      </c>
    </row>
    <row r="24" spans="1:9" x14ac:dyDescent="0.35">
      <c r="A24" s="30">
        <v>3</v>
      </c>
      <c r="B24" s="30">
        <v>-2</v>
      </c>
      <c r="C24" s="30">
        <f t="shared" si="1"/>
        <v>-1</v>
      </c>
      <c r="F24" s="30">
        <v>25</v>
      </c>
    </row>
    <row r="25" spans="1:9" x14ac:dyDescent="0.35">
      <c r="A25" s="30">
        <v>-3</v>
      </c>
      <c r="B25" s="30">
        <v>-2</v>
      </c>
      <c r="C25" s="30">
        <f t="shared" si="1"/>
        <v>-1</v>
      </c>
      <c r="F25" s="30">
        <v>29</v>
      </c>
    </row>
    <row r="26" spans="1:9" x14ac:dyDescent="0.35">
      <c r="F26" s="30">
        <v>30</v>
      </c>
    </row>
    <row r="27" spans="1:9" x14ac:dyDescent="0.35">
      <c r="A27" s="69" t="s">
        <v>103</v>
      </c>
      <c r="B27" s="69"/>
      <c r="C27" s="69"/>
      <c r="F27" s="30">
        <v>32</v>
      </c>
    </row>
    <row r="28" spans="1:9" x14ac:dyDescent="0.35">
      <c r="A28" s="69"/>
      <c r="B28" s="69"/>
      <c r="C28" s="69"/>
      <c r="F28" s="30">
        <v>34</v>
      </c>
    </row>
    <row r="29" spans="1:9" x14ac:dyDescent="0.35">
      <c r="A29" s="69"/>
      <c r="B29" s="69"/>
      <c r="C29" s="69"/>
    </row>
    <row r="30" spans="1:9" x14ac:dyDescent="0.35">
      <c r="A30" s="69"/>
      <c r="B30" s="69"/>
      <c r="C30" s="69"/>
    </row>
  </sheetData>
  <mergeCells count="1">
    <mergeCell ref="A27:C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EAE3-BC16-4FBE-AD19-135E5195C566}">
  <dimension ref="A1:I20"/>
  <sheetViews>
    <sheetView workbookViewId="0">
      <selection activeCell="I12" sqref="I12"/>
    </sheetView>
  </sheetViews>
  <sheetFormatPr defaultRowHeight="19.2" x14ac:dyDescent="0.35"/>
  <cols>
    <col min="1" max="1" width="11.73046875" style="29" bestFit="1" customWidth="1"/>
    <col min="2" max="8" width="9.06640625" style="29"/>
    <col min="9" max="9" width="10.73046875" style="29" bestFit="1" customWidth="1"/>
    <col min="10" max="16384" width="9.06640625" style="29"/>
  </cols>
  <sheetData>
    <row r="1" spans="1:9" x14ac:dyDescent="0.35">
      <c r="A1" s="35" t="s">
        <v>104</v>
      </c>
      <c r="B1" s="35" t="s">
        <v>105</v>
      </c>
      <c r="F1" s="30" t="s">
        <v>93</v>
      </c>
      <c r="G1" s="30" t="s">
        <v>106</v>
      </c>
      <c r="H1" s="30" t="s">
        <v>107</v>
      </c>
      <c r="I1" s="30" t="s">
        <v>108</v>
      </c>
    </row>
    <row r="2" spans="1:9" x14ac:dyDescent="0.35">
      <c r="A2" s="29">
        <v>-350</v>
      </c>
      <c r="B2" s="29">
        <f>ABS(A2)</f>
        <v>350</v>
      </c>
      <c r="F2" s="30">
        <v>50.89</v>
      </c>
      <c r="G2" s="30">
        <f>ROUND(F2,0)</f>
        <v>51</v>
      </c>
      <c r="H2" s="30">
        <f>ROUNDUP(F2,0)</f>
        <v>51</v>
      </c>
      <c r="I2" s="30">
        <f>ROUNDDOWN(F2,0)</f>
        <v>50</v>
      </c>
    </row>
    <row r="3" spans="1:9" x14ac:dyDescent="0.35">
      <c r="A3" s="29">
        <v>-250</v>
      </c>
      <c r="B3" s="29">
        <f t="shared" ref="B3:B5" si="0">ABS(A3)</f>
        <v>250</v>
      </c>
      <c r="F3" s="30">
        <v>35.654600000000002</v>
      </c>
      <c r="G3" s="30">
        <f t="shared" ref="G3:G7" si="1">ROUND(F3,0)</f>
        <v>36</v>
      </c>
      <c r="H3" s="30">
        <f t="shared" ref="H3:H7" si="2">ROUNDUP(F3,0)</f>
        <v>36</v>
      </c>
      <c r="I3" s="30">
        <f t="shared" ref="I3:I7" si="3">ROUNDDOWN(F3,0)</f>
        <v>35</v>
      </c>
    </row>
    <row r="4" spans="1:9" x14ac:dyDescent="0.35">
      <c r="A4" s="29">
        <v>-500</v>
      </c>
      <c r="B4" s="29">
        <f t="shared" si="0"/>
        <v>500</v>
      </c>
      <c r="F4" s="30">
        <v>851.55</v>
      </c>
      <c r="G4" s="30">
        <f t="shared" si="1"/>
        <v>852</v>
      </c>
      <c r="H4" s="30">
        <f t="shared" si="2"/>
        <v>852</v>
      </c>
      <c r="I4" s="30">
        <f t="shared" si="3"/>
        <v>851</v>
      </c>
    </row>
    <row r="5" spans="1:9" x14ac:dyDescent="0.35">
      <c r="A5" s="29">
        <v>-800</v>
      </c>
      <c r="B5" s="29">
        <f t="shared" si="0"/>
        <v>800</v>
      </c>
      <c r="F5" s="30">
        <v>816.31200000000001</v>
      </c>
      <c r="G5" s="30">
        <f t="shared" si="1"/>
        <v>816</v>
      </c>
      <c r="H5" s="30">
        <f t="shared" si="2"/>
        <v>817</v>
      </c>
      <c r="I5" s="30">
        <f t="shared" si="3"/>
        <v>816</v>
      </c>
    </row>
    <row r="6" spans="1:9" x14ac:dyDescent="0.35">
      <c r="F6" s="30">
        <v>1.3</v>
      </c>
      <c r="G6" s="30">
        <f t="shared" si="1"/>
        <v>1</v>
      </c>
      <c r="H6" s="30">
        <f t="shared" si="2"/>
        <v>2</v>
      </c>
      <c r="I6" s="30">
        <f t="shared" si="3"/>
        <v>1</v>
      </c>
    </row>
    <row r="7" spans="1:9" x14ac:dyDescent="0.35">
      <c r="F7" s="30">
        <v>2.4500000000000002</v>
      </c>
      <c r="G7" s="30">
        <f t="shared" si="1"/>
        <v>2</v>
      </c>
      <c r="H7" s="30">
        <f t="shared" si="2"/>
        <v>3</v>
      </c>
      <c r="I7" s="30">
        <f t="shared" si="3"/>
        <v>2</v>
      </c>
    </row>
    <row r="8" spans="1:9" x14ac:dyDescent="0.35">
      <c r="A8" s="29" t="s">
        <v>109</v>
      </c>
      <c r="B8" s="29" t="s">
        <v>110</v>
      </c>
    </row>
    <row r="9" spans="1:9" x14ac:dyDescent="0.35">
      <c r="A9" s="29">
        <v>1.8962651631609999</v>
      </c>
      <c r="B9" s="29">
        <f>INT(A9)</f>
        <v>1</v>
      </c>
    </row>
    <row r="10" spans="1:9" x14ac:dyDescent="0.35">
      <c r="A10" s="29">
        <v>651653.21651000006</v>
      </c>
      <c r="B10" s="29">
        <f t="shared" ref="B10:B11" si="4">INT(A10)</f>
        <v>651653</v>
      </c>
    </row>
    <row r="11" spans="1:9" x14ac:dyDescent="0.35">
      <c r="A11" s="29">
        <v>-52.651299999999999</v>
      </c>
      <c r="B11" s="29">
        <f t="shared" si="4"/>
        <v>-53</v>
      </c>
    </row>
    <row r="13" spans="1:9" x14ac:dyDescent="0.35">
      <c r="A13" s="29" t="s">
        <v>33</v>
      </c>
      <c r="B13" s="29" t="s">
        <v>111</v>
      </c>
    </row>
    <row r="14" spans="1:9" x14ac:dyDescent="0.35">
      <c r="A14" s="29">
        <v>50</v>
      </c>
      <c r="B14" s="29">
        <f>SIGN(A14)</f>
        <v>1</v>
      </c>
      <c r="D14" s="29">
        <f>COUNTIF(B14:B20,1)</f>
        <v>4</v>
      </c>
      <c r="E14" s="29" t="s">
        <v>336</v>
      </c>
    </row>
    <row r="15" spans="1:9" x14ac:dyDescent="0.35">
      <c r="A15" s="29">
        <v>60</v>
      </c>
      <c r="B15" s="29">
        <f t="shared" ref="B15:B20" si="5">SIGN(A15)</f>
        <v>1</v>
      </c>
      <c r="D15" s="29">
        <f>COUNTIF(B14:B20,-1)</f>
        <v>2</v>
      </c>
      <c r="E15" s="29" t="s">
        <v>337</v>
      </c>
    </row>
    <row r="16" spans="1:9" x14ac:dyDescent="0.35">
      <c r="A16" s="29">
        <v>-80</v>
      </c>
      <c r="B16" s="29">
        <f t="shared" si="5"/>
        <v>-1</v>
      </c>
      <c r="D16" s="29">
        <f>COUNTIF(B14:B20,0)</f>
        <v>1</v>
      </c>
      <c r="E16" s="29" t="s">
        <v>338</v>
      </c>
    </row>
    <row r="17" spans="1:2" x14ac:dyDescent="0.35">
      <c r="A17" s="29">
        <v>30</v>
      </c>
      <c r="B17" s="29">
        <f t="shared" si="5"/>
        <v>1</v>
      </c>
    </row>
    <row r="18" spans="1:2" x14ac:dyDescent="0.35">
      <c r="A18" s="29">
        <v>0</v>
      </c>
      <c r="B18" s="29">
        <f t="shared" si="5"/>
        <v>0</v>
      </c>
    </row>
    <row r="19" spans="1:2" x14ac:dyDescent="0.35">
      <c r="A19" s="29">
        <v>-20</v>
      </c>
      <c r="B19" s="29">
        <f t="shared" si="5"/>
        <v>-1</v>
      </c>
    </row>
    <row r="20" spans="1:2" x14ac:dyDescent="0.35">
      <c r="A20" s="29">
        <v>40</v>
      </c>
      <c r="B20" s="29">
        <f t="shared" si="5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1124-8F9E-4669-84E9-BCE6DA0C62E1}">
  <dimension ref="B1:T22"/>
  <sheetViews>
    <sheetView workbookViewId="0">
      <selection activeCell="O3" sqref="O3:O19"/>
    </sheetView>
  </sheetViews>
  <sheetFormatPr defaultRowHeight="20.399999999999999" x14ac:dyDescent="0.35"/>
  <cols>
    <col min="5" max="5" width="21.19921875" bestFit="1" customWidth="1"/>
    <col min="11" max="11" width="21.19921875" bestFit="1" customWidth="1"/>
    <col min="17" max="17" width="21.19921875" bestFit="1" customWidth="1"/>
  </cols>
  <sheetData>
    <row r="1" spans="2:20" x14ac:dyDescent="0.35">
      <c r="B1" s="70" t="s">
        <v>202</v>
      </c>
      <c r="C1" s="70"/>
      <c r="H1" s="70" t="s">
        <v>203</v>
      </c>
      <c r="I1" s="70"/>
      <c r="N1" s="70" t="s">
        <v>204</v>
      </c>
      <c r="O1" s="70"/>
    </row>
    <row r="2" spans="2:20" ht="40.799999999999997" x14ac:dyDescent="0.35">
      <c r="B2" t="s">
        <v>33</v>
      </c>
      <c r="C2" t="s">
        <v>92</v>
      </c>
      <c r="D2" s="53" t="s">
        <v>339</v>
      </c>
      <c r="E2" t="s">
        <v>194</v>
      </c>
      <c r="F2" t="s">
        <v>92</v>
      </c>
      <c r="H2" t="s">
        <v>33</v>
      </c>
      <c r="I2" t="s">
        <v>92</v>
      </c>
      <c r="K2" t="s">
        <v>194</v>
      </c>
      <c r="L2" t="s">
        <v>92</v>
      </c>
      <c r="N2" t="s">
        <v>33</v>
      </c>
      <c r="O2" t="s">
        <v>92</v>
      </c>
      <c r="Q2" t="s">
        <v>194</v>
      </c>
      <c r="R2" t="s">
        <v>92</v>
      </c>
    </row>
    <row r="3" spans="2:20" x14ac:dyDescent="0.35">
      <c r="B3">
        <v>40</v>
      </c>
      <c r="C3" t="str">
        <f>IF(B3&gt;500,"good","Bad")</f>
        <v>Bad</v>
      </c>
      <c r="D3" t="str">
        <f>IF(B3&lt;500,"good","bad")</f>
        <v>good</v>
      </c>
      <c r="E3" t="s">
        <v>195</v>
      </c>
      <c r="F3" t="s">
        <v>196</v>
      </c>
      <c r="H3">
        <v>40</v>
      </c>
      <c r="I3" t="str">
        <f>IF(H3&gt;500,"good",IF(H3&gt;=300,"ok","bad"))</f>
        <v>bad</v>
      </c>
      <c r="K3" t="s">
        <v>199</v>
      </c>
      <c r="L3" t="s">
        <v>196</v>
      </c>
      <c r="N3">
        <v>40</v>
      </c>
      <c r="O3" t="str" cm="1">
        <f t="array" ref="O3">_xlfn.IFS(N3&lt;300,"Bad",N3&lt;=300,"ok",N3&gt;300,"Good")</f>
        <v>Bad</v>
      </c>
      <c r="Q3" t="s">
        <v>199</v>
      </c>
      <c r="R3" t="s">
        <v>196</v>
      </c>
    </row>
    <row r="4" spans="2:20" x14ac:dyDescent="0.35">
      <c r="B4">
        <v>596</v>
      </c>
      <c r="C4" t="str">
        <f t="shared" ref="C4:C19" si="0">IF(B4&gt;500,"good","Bad")</f>
        <v>good</v>
      </c>
      <c r="D4" t="str">
        <f t="shared" ref="D4:D19" si="1">IF(B4&lt;500,"good","bad")</f>
        <v>bad</v>
      </c>
      <c r="E4" t="s">
        <v>197</v>
      </c>
      <c r="F4" t="s">
        <v>198</v>
      </c>
      <c r="H4">
        <v>596</v>
      </c>
      <c r="I4" t="str">
        <f t="shared" ref="I4:I19" si="2">IF(H4&gt;500,"good",IF(H4&gt;=300,"ok","bad"))</f>
        <v>good</v>
      </c>
      <c r="K4" t="s">
        <v>200</v>
      </c>
      <c r="L4" t="s">
        <v>201</v>
      </c>
      <c r="N4">
        <v>596</v>
      </c>
      <c r="O4" t="str" cm="1">
        <f t="array" ref="O4">_xlfn.IFS(N4&lt;300,"Bad",N4&lt;=300,"ok",N4&gt;300,"Good")</f>
        <v>Good</v>
      </c>
      <c r="Q4" t="s">
        <v>200</v>
      </c>
      <c r="R4" t="s">
        <v>201</v>
      </c>
    </row>
    <row r="5" spans="2:20" x14ac:dyDescent="0.35">
      <c r="B5">
        <v>23</v>
      </c>
      <c r="C5" t="str">
        <f t="shared" si="0"/>
        <v>Bad</v>
      </c>
      <c r="D5" t="str">
        <f t="shared" si="1"/>
        <v>good</v>
      </c>
      <c r="H5">
        <v>23</v>
      </c>
      <c r="I5" t="str">
        <f t="shared" si="2"/>
        <v>bad</v>
      </c>
      <c r="K5" t="s">
        <v>197</v>
      </c>
      <c r="L5" t="s">
        <v>198</v>
      </c>
      <c r="N5">
        <v>23</v>
      </c>
      <c r="O5" t="str" cm="1">
        <f t="array" ref="O5">_xlfn.IFS(N5&lt;300,"Bad",N5&lt;=300,"ok",N5&gt;300,"Good")</f>
        <v>Bad</v>
      </c>
      <c r="Q5" t="s">
        <v>197</v>
      </c>
      <c r="R5" t="s">
        <v>198</v>
      </c>
    </row>
    <row r="6" spans="2:20" x14ac:dyDescent="0.35">
      <c r="B6">
        <v>516</v>
      </c>
      <c r="C6" t="str">
        <f t="shared" si="0"/>
        <v>good</v>
      </c>
      <c r="D6" t="str">
        <f t="shared" si="1"/>
        <v>bad</v>
      </c>
      <c r="H6">
        <v>516</v>
      </c>
      <c r="I6" t="str">
        <f t="shared" si="2"/>
        <v>good</v>
      </c>
      <c r="N6">
        <v>516</v>
      </c>
      <c r="O6" t="str" cm="1">
        <f t="array" ref="O6">_xlfn.IFS(N6&lt;300,"Bad",N6&lt;=300,"ok",N6&gt;300,"Good")</f>
        <v>Good</v>
      </c>
    </row>
    <row r="7" spans="2:20" x14ac:dyDescent="0.35">
      <c r="B7">
        <v>341</v>
      </c>
      <c r="C7" t="str">
        <f t="shared" si="0"/>
        <v>Bad</v>
      </c>
      <c r="D7" t="str">
        <f t="shared" si="1"/>
        <v>good</v>
      </c>
      <c r="H7">
        <v>341</v>
      </c>
      <c r="I7" t="str">
        <f t="shared" si="2"/>
        <v>ok</v>
      </c>
      <c r="K7" t="str">
        <f ca="1">_xlfn.FORMULATEXT(I3)</f>
        <v>=IF(H3&gt;500,"good",IF(H3&gt;=300,"ok","bad"))</v>
      </c>
      <c r="N7">
        <v>341</v>
      </c>
      <c r="O7" t="str" cm="1">
        <f t="array" ref="O7">_xlfn.IFS(N7&lt;300,"Bad",N7&lt;=300,"ok",N7&gt;300,"Good")</f>
        <v>Good</v>
      </c>
      <c r="Q7" t="s">
        <v>346</v>
      </c>
    </row>
    <row r="8" spans="2:20" x14ac:dyDescent="0.35">
      <c r="B8">
        <v>572</v>
      </c>
      <c r="C8" t="str">
        <f t="shared" si="0"/>
        <v>good</v>
      </c>
      <c r="D8" t="str">
        <f t="shared" si="1"/>
        <v>bad</v>
      </c>
      <c r="H8">
        <v>572</v>
      </c>
      <c r="I8" t="str">
        <f t="shared" si="2"/>
        <v>good</v>
      </c>
      <c r="N8">
        <v>572</v>
      </c>
      <c r="O8" t="str" cm="1">
        <f t="array" ref="O8">_xlfn.IFS(N8&lt;300,"Bad",N8&lt;=300,"ok",N8&gt;300,"Good")</f>
        <v>Good</v>
      </c>
      <c r="Q8" s="54" t="str">
        <f ca="1">_xlfn.FORMULATEXT(O3)</f>
        <v>=IFS(N3&lt;300,"Bad",N3&lt;=300,"ok",N3&gt;300,"Good")</v>
      </c>
      <c r="R8" s="54"/>
      <c r="S8" s="54"/>
      <c r="T8" s="54"/>
    </row>
    <row r="9" spans="2:20" x14ac:dyDescent="0.35">
      <c r="B9">
        <v>13</v>
      </c>
      <c r="C9" t="str">
        <f t="shared" si="0"/>
        <v>Bad</v>
      </c>
      <c r="D9" t="str">
        <f t="shared" si="1"/>
        <v>good</v>
      </c>
      <c r="H9">
        <v>13</v>
      </c>
      <c r="I9" t="str">
        <f t="shared" si="2"/>
        <v>bad</v>
      </c>
      <c r="K9" t="s">
        <v>342</v>
      </c>
      <c r="N9">
        <v>13</v>
      </c>
      <c r="O9" t="str" cm="1">
        <f t="array" ref="O9">_xlfn.IFS(N9&lt;300,"Bad",N9&lt;=300,"ok",N9&gt;300,"Good")</f>
        <v>Bad</v>
      </c>
    </row>
    <row r="10" spans="2:20" x14ac:dyDescent="0.35">
      <c r="B10">
        <v>481</v>
      </c>
      <c r="C10" t="str">
        <f t="shared" si="0"/>
        <v>Bad</v>
      </c>
      <c r="D10" t="str">
        <f t="shared" si="1"/>
        <v>good</v>
      </c>
      <c r="H10">
        <v>481</v>
      </c>
      <c r="I10" t="str">
        <f t="shared" si="2"/>
        <v>ok</v>
      </c>
      <c r="K10" t="s">
        <v>343</v>
      </c>
      <c r="N10">
        <v>481</v>
      </c>
      <c r="O10" t="str" cm="1">
        <f t="array" ref="O10">_xlfn.IFS(N10&lt;300,"Bad",N10&lt;=300,"ok",N10&gt;300,"Good")</f>
        <v>Good</v>
      </c>
    </row>
    <row r="11" spans="2:20" x14ac:dyDescent="0.35">
      <c r="B11">
        <v>707</v>
      </c>
      <c r="C11" t="str">
        <f t="shared" si="0"/>
        <v>good</v>
      </c>
      <c r="D11" t="str">
        <f t="shared" si="1"/>
        <v>bad</v>
      </c>
      <c r="H11">
        <v>707</v>
      </c>
      <c r="I11" t="str">
        <f t="shared" si="2"/>
        <v>good</v>
      </c>
      <c r="K11" t="s">
        <v>344</v>
      </c>
      <c r="N11">
        <v>707</v>
      </c>
      <c r="O11" t="str" cm="1">
        <f t="array" ref="O11">_xlfn.IFS(N11&lt;300,"Bad",N11&lt;=300,"ok",N11&gt;300,"Good")</f>
        <v>Good</v>
      </c>
    </row>
    <row r="12" spans="2:20" x14ac:dyDescent="0.35">
      <c r="B12">
        <v>760</v>
      </c>
      <c r="C12" t="str">
        <f t="shared" si="0"/>
        <v>good</v>
      </c>
      <c r="D12" t="str">
        <f t="shared" si="1"/>
        <v>bad</v>
      </c>
      <c r="H12">
        <v>760</v>
      </c>
      <c r="I12" t="str">
        <f t="shared" si="2"/>
        <v>good</v>
      </c>
      <c r="K12" t="s">
        <v>345</v>
      </c>
      <c r="N12">
        <v>760</v>
      </c>
      <c r="O12" t="str" cm="1">
        <f t="array" ref="O12">_xlfn.IFS(N12&lt;300,"Bad",N12&lt;=300,"ok",N12&gt;300,"Good")</f>
        <v>Good</v>
      </c>
    </row>
    <row r="13" spans="2:20" x14ac:dyDescent="0.35">
      <c r="B13">
        <v>177</v>
      </c>
      <c r="C13" t="str">
        <f t="shared" si="0"/>
        <v>Bad</v>
      </c>
      <c r="D13" t="str">
        <f t="shared" si="1"/>
        <v>good</v>
      </c>
      <c r="H13">
        <v>177</v>
      </c>
      <c r="I13" t="str">
        <f t="shared" si="2"/>
        <v>bad</v>
      </c>
      <c r="N13">
        <v>177</v>
      </c>
      <c r="O13" t="str" cm="1">
        <f t="array" ref="O13">_xlfn.IFS(N13&lt;300,"Bad",N13&lt;=300,"ok",N13&gt;300,"Good")</f>
        <v>Bad</v>
      </c>
    </row>
    <row r="14" spans="2:20" x14ac:dyDescent="0.35">
      <c r="B14">
        <v>650</v>
      </c>
      <c r="C14" t="str">
        <f t="shared" si="0"/>
        <v>good</v>
      </c>
      <c r="D14" t="str">
        <f t="shared" si="1"/>
        <v>bad</v>
      </c>
      <c r="H14">
        <v>650</v>
      </c>
      <c r="I14" t="str">
        <f t="shared" si="2"/>
        <v>good</v>
      </c>
      <c r="N14">
        <v>650</v>
      </c>
      <c r="O14" t="str" cm="1">
        <f t="array" ref="O14">_xlfn.IFS(N14&lt;300,"Bad",N14&lt;=300,"ok",N14&gt;300,"Good")</f>
        <v>Good</v>
      </c>
    </row>
    <row r="15" spans="2:20" x14ac:dyDescent="0.35">
      <c r="B15">
        <v>762</v>
      </c>
      <c r="C15" t="str">
        <f t="shared" si="0"/>
        <v>good</v>
      </c>
      <c r="D15" t="str">
        <f t="shared" si="1"/>
        <v>bad</v>
      </c>
      <c r="H15">
        <v>762</v>
      </c>
      <c r="I15" t="str">
        <f t="shared" si="2"/>
        <v>good</v>
      </c>
      <c r="N15">
        <v>762</v>
      </c>
      <c r="O15" t="str" cm="1">
        <f t="array" ref="O15">_xlfn.IFS(N15&lt;300,"Bad",N15&lt;=300,"ok",N15&gt;300,"Good")</f>
        <v>Good</v>
      </c>
    </row>
    <row r="16" spans="2:20" x14ac:dyDescent="0.35">
      <c r="B16">
        <v>821</v>
      </c>
      <c r="C16" t="str">
        <f t="shared" si="0"/>
        <v>good</v>
      </c>
      <c r="D16" t="str">
        <f t="shared" si="1"/>
        <v>bad</v>
      </c>
      <c r="H16">
        <v>821</v>
      </c>
      <c r="I16" t="str">
        <f t="shared" si="2"/>
        <v>good</v>
      </c>
      <c r="N16">
        <v>821</v>
      </c>
      <c r="O16" t="str" cm="1">
        <f t="array" ref="O16">_xlfn.IFS(N16&lt;300,"Bad",N16&lt;=300,"ok",N16&gt;300,"Good")</f>
        <v>Good</v>
      </c>
    </row>
    <row r="17" spans="2:15" x14ac:dyDescent="0.35">
      <c r="B17">
        <v>752</v>
      </c>
      <c r="C17" t="str">
        <f t="shared" si="0"/>
        <v>good</v>
      </c>
      <c r="D17" t="str">
        <f t="shared" si="1"/>
        <v>bad</v>
      </c>
      <c r="H17">
        <v>752</v>
      </c>
      <c r="I17" t="str">
        <f t="shared" si="2"/>
        <v>good</v>
      </c>
      <c r="K17" t="s">
        <v>355</v>
      </c>
      <c r="N17">
        <v>752</v>
      </c>
      <c r="O17" t="str" cm="1">
        <f t="array" ref="O17">_xlfn.IFS(N17&lt;300,"Bad",N17&lt;=300,"ok",N17&gt;300,"Good")</f>
        <v>Good</v>
      </c>
    </row>
    <row r="18" spans="2:15" x14ac:dyDescent="0.35">
      <c r="B18">
        <v>835</v>
      </c>
      <c r="C18" t="str">
        <f t="shared" si="0"/>
        <v>good</v>
      </c>
      <c r="D18" t="str">
        <f t="shared" si="1"/>
        <v>bad</v>
      </c>
      <c r="H18">
        <v>835</v>
      </c>
      <c r="I18" t="str">
        <f t="shared" si="2"/>
        <v>good</v>
      </c>
      <c r="N18">
        <v>835</v>
      </c>
      <c r="O18" t="str" cm="1">
        <f t="array" ref="O18">_xlfn.IFS(N18&lt;300,"Bad",N18&lt;=300,"ok",N18&gt;300,"Good")</f>
        <v>Good</v>
      </c>
    </row>
    <row r="19" spans="2:15" x14ac:dyDescent="0.35">
      <c r="B19">
        <v>921</v>
      </c>
      <c r="C19" t="str">
        <f t="shared" si="0"/>
        <v>good</v>
      </c>
      <c r="D19" t="str">
        <f t="shared" si="1"/>
        <v>bad</v>
      </c>
      <c r="H19">
        <v>921</v>
      </c>
      <c r="I19" t="str">
        <f t="shared" si="2"/>
        <v>good</v>
      </c>
      <c r="N19">
        <v>921</v>
      </c>
      <c r="O19" t="str" cm="1">
        <f t="array" ref="O19">_xlfn.IFS(N19&lt;300,"Bad",N19&lt;=300,"ok",N19&gt;300,"Good")</f>
        <v>Good</v>
      </c>
    </row>
    <row r="21" spans="2:15" x14ac:dyDescent="0.35">
      <c r="C21" t="s">
        <v>340</v>
      </c>
      <c r="D21" t="str">
        <f ca="1">_xlfn.FORMULATEXT(C3)</f>
        <v>=IF(B3&gt;500,"good","Bad")</v>
      </c>
    </row>
    <row r="22" spans="2:15" x14ac:dyDescent="0.35">
      <c r="C22" t="s">
        <v>341</v>
      </c>
      <c r="D22" t="str">
        <f ca="1">_xlfn.FORMULATEXT(D3)</f>
        <v>=IF(B3&lt;500,"good","bad")</v>
      </c>
    </row>
  </sheetData>
  <mergeCells count="3">
    <mergeCell ref="B1:C1"/>
    <mergeCell ref="H1:I1"/>
    <mergeCell ref="N1:O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5130-2AD9-453C-BD05-E162032AA646}">
  <dimension ref="B1:L36"/>
  <sheetViews>
    <sheetView topLeftCell="A16" workbookViewId="0">
      <selection activeCell="F34" sqref="F34:F36"/>
    </sheetView>
  </sheetViews>
  <sheetFormatPr defaultRowHeight="19.2" x14ac:dyDescent="0.35"/>
  <cols>
    <col min="1" max="4" width="9.06640625" style="29"/>
    <col min="5" max="5" width="10.9296875" style="29" customWidth="1"/>
    <col min="6" max="16384" width="9.06640625" style="29"/>
  </cols>
  <sheetData>
    <row r="1" spans="2:12" ht="20.399999999999999" customHeight="1" x14ac:dyDescent="0.35">
      <c r="G1" s="71" t="s">
        <v>290</v>
      </c>
      <c r="H1" s="71"/>
      <c r="I1" s="71"/>
      <c r="J1" s="71"/>
      <c r="K1" s="71"/>
      <c r="L1" s="71"/>
    </row>
    <row r="2" spans="2:12" x14ac:dyDescent="0.35">
      <c r="B2" s="30" t="s">
        <v>112</v>
      </c>
      <c r="C2" s="30" t="s">
        <v>113</v>
      </c>
      <c r="D2" s="30" t="s">
        <v>92</v>
      </c>
      <c r="E2" s="30" t="s">
        <v>15</v>
      </c>
      <c r="G2" s="29" t="s">
        <v>288</v>
      </c>
    </row>
    <row r="3" spans="2:12" x14ac:dyDescent="0.35">
      <c r="B3" s="30" t="s">
        <v>114</v>
      </c>
      <c r="C3" s="30">
        <v>56</v>
      </c>
      <c r="D3" s="30" t="str">
        <f>IF(OR(B3="Abhay",B3="Kumar"),"Present","Absent")</f>
        <v>Absent</v>
      </c>
      <c r="E3" s="30" t="str">
        <f>IF(OR(B3="Kumar",C3&gt;50),"Clearned","NOT Clearned")</f>
        <v>Clearned</v>
      </c>
      <c r="G3" s="29" t="s">
        <v>208</v>
      </c>
    </row>
    <row r="4" spans="2:12" x14ac:dyDescent="0.35">
      <c r="B4" s="30" t="s">
        <v>115</v>
      </c>
      <c r="C4" s="30">
        <v>76</v>
      </c>
      <c r="D4" s="30" t="str">
        <f t="shared" ref="D4:D13" si="0">IF(OR(B4="Abhay",B4="Kumar"),"Present","Absent")</f>
        <v>Present</v>
      </c>
      <c r="E4" s="30" t="str">
        <f t="shared" ref="E4:E13" si="1">IF(OR(B4="Kumar",C4&gt;50),"Clearned","NOT Clearned")</f>
        <v>Clearned</v>
      </c>
      <c r="G4" s="73" t="s">
        <v>122</v>
      </c>
      <c r="H4" s="73"/>
      <c r="I4" s="73"/>
      <c r="J4" s="73"/>
      <c r="K4" s="73"/>
      <c r="L4" s="73"/>
    </row>
    <row r="5" spans="2:12" x14ac:dyDescent="0.35">
      <c r="B5" s="30" t="s">
        <v>116</v>
      </c>
      <c r="C5" s="30">
        <v>99</v>
      </c>
      <c r="D5" s="30" t="str">
        <f t="shared" si="0"/>
        <v>Present</v>
      </c>
      <c r="E5" s="30" t="str">
        <f t="shared" si="1"/>
        <v>Clearned</v>
      </c>
      <c r="G5" s="73"/>
      <c r="H5" s="73"/>
      <c r="I5" s="73"/>
      <c r="J5" s="73"/>
      <c r="K5" s="73"/>
      <c r="L5" s="73"/>
    </row>
    <row r="6" spans="2:12" x14ac:dyDescent="0.35">
      <c r="B6" s="30" t="s">
        <v>117</v>
      </c>
      <c r="C6" s="30">
        <v>78</v>
      </c>
      <c r="D6" s="30" t="str">
        <f t="shared" si="0"/>
        <v>Absent</v>
      </c>
      <c r="E6" s="30" t="str">
        <f t="shared" si="1"/>
        <v>Clearned</v>
      </c>
    </row>
    <row r="7" spans="2:12" x14ac:dyDescent="0.35">
      <c r="B7" s="30" t="s">
        <v>118</v>
      </c>
      <c r="C7" s="30">
        <v>70</v>
      </c>
      <c r="D7" s="30" t="str">
        <f t="shared" si="0"/>
        <v>Absent</v>
      </c>
      <c r="E7" s="30" t="str">
        <f t="shared" si="1"/>
        <v>Clearned</v>
      </c>
      <c r="G7" s="29" t="s">
        <v>14</v>
      </c>
    </row>
    <row r="8" spans="2:12" x14ac:dyDescent="0.35">
      <c r="B8" s="30" t="s">
        <v>115</v>
      </c>
      <c r="C8" s="30">
        <v>91</v>
      </c>
      <c r="D8" s="30" t="str">
        <f t="shared" si="0"/>
        <v>Present</v>
      </c>
      <c r="E8" s="30" t="str">
        <f t="shared" si="1"/>
        <v>Clearned</v>
      </c>
      <c r="G8" s="29" t="str">
        <f ca="1">_xlfn.FORMULATEXT(D3)</f>
        <v>=IF(OR(B3="Abhay",B3="Kumar"),"Present","Absent")</v>
      </c>
    </row>
    <row r="9" spans="2:12" x14ac:dyDescent="0.35">
      <c r="B9" s="30" t="s">
        <v>119</v>
      </c>
      <c r="C9" s="30">
        <v>51</v>
      </c>
      <c r="D9" s="30" t="str">
        <f t="shared" si="0"/>
        <v>Absent</v>
      </c>
      <c r="E9" s="30" t="str">
        <f t="shared" si="1"/>
        <v>Clearned</v>
      </c>
      <c r="G9" s="29" t="s">
        <v>209</v>
      </c>
    </row>
    <row r="10" spans="2:12" x14ac:dyDescent="0.35">
      <c r="B10" s="30" t="s">
        <v>120</v>
      </c>
      <c r="C10" s="30">
        <v>59</v>
      </c>
      <c r="D10" s="30" t="str">
        <f t="shared" si="0"/>
        <v>Absent</v>
      </c>
      <c r="E10" s="30" t="str">
        <f t="shared" si="1"/>
        <v>Clearned</v>
      </c>
      <c r="G10" s="69" t="s">
        <v>205</v>
      </c>
      <c r="H10" s="69"/>
      <c r="I10" s="69"/>
      <c r="J10" s="69"/>
      <c r="K10" s="69"/>
      <c r="L10" s="69"/>
    </row>
    <row r="11" spans="2:12" x14ac:dyDescent="0.35">
      <c r="B11" s="30" t="s">
        <v>121</v>
      </c>
      <c r="C11" s="30">
        <v>52</v>
      </c>
      <c r="D11" s="30" t="str">
        <f t="shared" si="0"/>
        <v>Absent</v>
      </c>
      <c r="E11" s="30" t="str">
        <f t="shared" si="1"/>
        <v>Clearned</v>
      </c>
      <c r="G11" s="69"/>
      <c r="H11" s="69"/>
      <c r="I11" s="69"/>
      <c r="J11" s="69"/>
      <c r="K11" s="69"/>
      <c r="L11" s="69"/>
    </row>
    <row r="12" spans="2:12" x14ac:dyDescent="0.35">
      <c r="B12" s="30" t="s">
        <v>115</v>
      </c>
      <c r="C12" s="30">
        <v>25</v>
      </c>
      <c r="D12" s="30" t="str">
        <f t="shared" si="0"/>
        <v>Present</v>
      </c>
      <c r="E12" s="30" t="str">
        <f t="shared" si="1"/>
        <v>Clearned</v>
      </c>
      <c r="G12" s="69"/>
      <c r="H12" s="69"/>
      <c r="I12" s="69"/>
      <c r="J12" s="69"/>
      <c r="K12" s="69"/>
      <c r="L12" s="69"/>
    </row>
    <row r="13" spans="2:12" x14ac:dyDescent="0.35">
      <c r="B13" s="30" t="s">
        <v>116</v>
      </c>
      <c r="C13" s="30">
        <v>35</v>
      </c>
      <c r="D13" s="30" t="str">
        <f t="shared" si="0"/>
        <v>Present</v>
      </c>
      <c r="E13" s="30" t="str">
        <f t="shared" si="1"/>
        <v>NOT Clearned</v>
      </c>
      <c r="G13" s="29" t="str">
        <f ca="1">_xlfn.FORMULATEXT(E3)</f>
        <v>=IF(OR(B3="Kumar",C3&gt;50),"Clearned","NOT Clearned")</v>
      </c>
    </row>
    <row r="14" spans="2:12" x14ac:dyDescent="0.35">
      <c r="D14" s="30"/>
      <c r="E14" s="30"/>
      <c r="G14" s="29" t="s">
        <v>15</v>
      </c>
    </row>
    <row r="17" spans="2:12" ht="20.399999999999999" customHeight="1" x14ac:dyDescent="0.35">
      <c r="G17" s="71" t="s">
        <v>291</v>
      </c>
      <c r="H17" s="71"/>
      <c r="I17" s="71"/>
      <c r="J17" s="71"/>
      <c r="K17" s="71"/>
      <c r="L17" s="71"/>
    </row>
    <row r="18" spans="2:12" x14ac:dyDescent="0.35">
      <c r="B18" s="30" t="s">
        <v>112</v>
      </c>
      <c r="C18" s="30" t="s">
        <v>113</v>
      </c>
      <c r="D18" s="30" t="s">
        <v>92</v>
      </c>
      <c r="E18" s="30" t="s">
        <v>15</v>
      </c>
      <c r="F18" s="29" t="s">
        <v>357</v>
      </c>
      <c r="G18" s="29" t="s">
        <v>289</v>
      </c>
    </row>
    <row r="19" spans="2:12" x14ac:dyDescent="0.35">
      <c r="B19" s="30" t="s">
        <v>114</v>
      </c>
      <c r="C19" s="30">
        <v>56</v>
      </c>
      <c r="D19" s="30" t="str">
        <f>IF(AND(B19="Kumar",C18&lt;=100),"Pass","fail")</f>
        <v>fail</v>
      </c>
      <c r="E19" s="30" t="str">
        <f>IF(AND(C19&gt;=70,C19&lt;=90),"selected","Notselected")</f>
        <v>Notselected</v>
      </c>
      <c r="F19" s="29" t="str">
        <f>IF(AND(C19&gt;=70,C19&lt;=90),"Selected","Not Selected")</f>
        <v>Not Selected</v>
      </c>
    </row>
    <row r="20" spans="2:12" x14ac:dyDescent="0.35">
      <c r="B20" s="30" t="s">
        <v>115</v>
      </c>
      <c r="C20" s="30">
        <v>76</v>
      </c>
      <c r="D20" s="30" t="str">
        <f t="shared" ref="D20:D33" si="2">IF(AND(B20="Kumar",C19&lt;=100),"Pass","fail")</f>
        <v>Pass</v>
      </c>
      <c r="E20" s="30" t="str">
        <f t="shared" ref="E20:E33" si="3">IF(AND(C20&gt;=70,C20&lt;=90),"selected","Notselected")</f>
        <v>selected</v>
      </c>
      <c r="F20" s="29" t="str">
        <f t="shared" ref="F20:F36" si="4">IF(AND(C20&gt;=70,C20&lt;=90),"Selected","Not Selected")</f>
        <v>Selected</v>
      </c>
      <c r="G20" s="29" t="s">
        <v>208</v>
      </c>
    </row>
    <row r="21" spans="2:12" x14ac:dyDescent="0.35">
      <c r="B21" s="30" t="s">
        <v>116</v>
      </c>
      <c r="C21" s="30">
        <v>99</v>
      </c>
      <c r="D21" s="30" t="str">
        <f t="shared" si="2"/>
        <v>fail</v>
      </c>
      <c r="E21" s="30" t="str">
        <f t="shared" si="3"/>
        <v>Notselected</v>
      </c>
      <c r="F21" s="29" t="str">
        <f t="shared" si="4"/>
        <v>Not Selected</v>
      </c>
      <c r="G21" s="72" t="s">
        <v>206</v>
      </c>
      <c r="H21" s="72"/>
      <c r="I21" s="72"/>
      <c r="J21" s="72"/>
    </row>
    <row r="22" spans="2:12" x14ac:dyDescent="0.35">
      <c r="B22" s="30" t="s">
        <v>117</v>
      </c>
      <c r="C22" s="30">
        <v>78</v>
      </c>
      <c r="D22" s="30" t="str">
        <f t="shared" si="2"/>
        <v>fail</v>
      </c>
      <c r="E22" s="30" t="str">
        <f t="shared" si="3"/>
        <v>selected</v>
      </c>
      <c r="F22" s="29" t="str">
        <f t="shared" si="4"/>
        <v>Selected</v>
      </c>
      <c r="G22" s="72"/>
      <c r="H22" s="72"/>
      <c r="I22" s="72"/>
      <c r="J22" s="72"/>
    </row>
    <row r="23" spans="2:12" x14ac:dyDescent="0.35">
      <c r="B23" s="30" t="s">
        <v>118</v>
      </c>
      <c r="C23" s="30">
        <v>70</v>
      </c>
      <c r="D23" s="30" t="str">
        <f t="shared" si="2"/>
        <v>fail</v>
      </c>
      <c r="E23" s="30" t="str">
        <f t="shared" si="3"/>
        <v>selected</v>
      </c>
      <c r="F23" s="29" t="str">
        <f t="shared" si="4"/>
        <v>Selected</v>
      </c>
      <c r="G23" s="72"/>
      <c r="H23" s="72"/>
      <c r="I23" s="72"/>
      <c r="J23" s="72"/>
    </row>
    <row r="24" spans="2:12" x14ac:dyDescent="0.35">
      <c r="B24" s="30" t="s">
        <v>115</v>
      </c>
      <c r="C24" s="30">
        <v>91</v>
      </c>
      <c r="D24" s="30" t="str">
        <f t="shared" si="2"/>
        <v>Pass</v>
      </c>
      <c r="E24" s="30" t="str">
        <f t="shared" si="3"/>
        <v>Notselected</v>
      </c>
      <c r="F24" s="29" t="str">
        <f t="shared" si="4"/>
        <v>Not Selected</v>
      </c>
      <c r="G24" s="72"/>
      <c r="H24" s="72"/>
      <c r="I24" s="72"/>
      <c r="J24" s="72"/>
    </row>
    <row r="25" spans="2:12" x14ac:dyDescent="0.35">
      <c r="B25" s="30" t="s">
        <v>119</v>
      </c>
      <c r="C25" s="30">
        <v>51</v>
      </c>
      <c r="D25" s="30" t="str">
        <f t="shared" si="2"/>
        <v>fail</v>
      </c>
      <c r="E25" s="30" t="str">
        <f t="shared" si="3"/>
        <v>Notselected</v>
      </c>
      <c r="F25" s="29" t="str">
        <f t="shared" si="4"/>
        <v>Not Selected</v>
      </c>
    </row>
    <row r="26" spans="2:12" x14ac:dyDescent="0.35">
      <c r="B26" s="30" t="s">
        <v>120</v>
      </c>
      <c r="C26" s="30">
        <v>59</v>
      </c>
      <c r="D26" s="30" t="str">
        <f t="shared" si="2"/>
        <v>fail</v>
      </c>
      <c r="E26" s="30" t="str">
        <f t="shared" si="3"/>
        <v>Notselected</v>
      </c>
      <c r="F26" s="29" t="str">
        <f t="shared" si="4"/>
        <v>Not Selected</v>
      </c>
      <c r="G26" s="29" t="s">
        <v>14</v>
      </c>
    </row>
    <row r="27" spans="2:12" x14ac:dyDescent="0.35">
      <c r="B27" s="30" t="s">
        <v>121</v>
      </c>
      <c r="C27" s="30">
        <v>85</v>
      </c>
      <c r="D27" s="30" t="str">
        <f t="shared" si="2"/>
        <v>fail</v>
      </c>
      <c r="E27" s="30" t="str">
        <f t="shared" si="3"/>
        <v>selected</v>
      </c>
      <c r="F27" s="29" t="str">
        <f t="shared" si="4"/>
        <v>Selected</v>
      </c>
      <c r="G27" s="29" t="str">
        <f ca="1">_xlfn.FORMULATEXT(D19)</f>
        <v>=IF(AND(B19="Kumar",C18&lt;=100),"Pass","fail")</v>
      </c>
    </row>
    <row r="28" spans="2:12" x14ac:dyDescent="0.35">
      <c r="B28" s="30" t="s">
        <v>115</v>
      </c>
      <c r="C28" s="30">
        <v>25</v>
      </c>
      <c r="D28" s="30" t="str">
        <f t="shared" si="2"/>
        <v>Pass</v>
      </c>
      <c r="E28" s="30" t="str">
        <f t="shared" si="3"/>
        <v>Notselected</v>
      </c>
      <c r="F28" s="29" t="str">
        <f t="shared" si="4"/>
        <v>Not Selected</v>
      </c>
      <c r="G28" s="29" t="s">
        <v>209</v>
      </c>
    </row>
    <row r="29" spans="2:12" x14ac:dyDescent="0.35">
      <c r="B29" s="30" t="s">
        <v>116</v>
      </c>
      <c r="C29" s="30">
        <v>35</v>
      </c>
      <c r="D29" s="30" t="str">
        <f t="shared" si="2"/>
        <v>fail</v>
      </c>
      <c r="E29" s="30" t="str">
        <f t="shared" si="3"/>
        <v>Notselected</v>
      </c>
      <c r="F29" s="29" t="str">
        <f t="shared" si="4"/>
        <v>Not Selected</v>
      </c>
      <c r="G29" s="69" t="s">
        <v>207</v>
      </c>
      <c r="H29" s="69"/>
      <c r="I29" s="69"/>
      <c r="J29" s="69"/>
    </row>
    <row r="30" spans="2:12" x14ac:dyDescent="0.35">
      <c r="B30" s="30" t="s">
        <v>120</v>
      </c>
      <c r="C30" s="30">
        <v>10</v>
      </c>
      <c r="D30" s="30" t="str">
        <f t="shared" si="2"/>
        <v>fail</v>
      </c>
      <c r="E30" s="30" t="str">
        <f t="shared" si="3"/>
        <v>Notselected</v>
      </c>
      <c r="F30" s="29" t="str">
        <f t="shared" si="4"/>
        <v>Not Selected</v>
      </c>
      <c r="G30" s="69"/>
      <c r="H30" s="69"/>
      <c r="I30" s="69"/>
      <c r="J30" s="69"/>
    </row>
    <row r="31" spans="2:12" x14ac:dyDescent="0.35">
      <c r="B31" s="30" t="s">
        <v>115</v>
      </c>
      <c r="C31" s="30">
        <v>50</v>
      </c>
      <c r="D31" s="30" t="str">
        <f t="shared" si="2"/>
        <v>Pass</v>
      </c>
      <c r="E31" s="30" t="str">
        <f>IF(AND(C31&gt;=70,C31&lt;=90),"selected","Notselected")</f>
        <v>Notselected</v>
      </c>
      <c r="F31" s="29" t="str">
        <f t="shared" si="4"/>
        <v>Not Selected</v>
      </c>
      <c r="G31" s="69"/>
      <c r="H31" s="69"/>
      <c r="I31" s="69"/>
      <c r="J31" s="69"/>
    </row>
    <row r="32" spans="2:12" x14ac:dyDescent="0.35">
      <c r="B32" s="30" t="s">
        <v>210</v>
      </c>
      <c r="C32" s="30">
        <v>30</v>
      </c>
      <c r="D32" s="30" t="str">
        <f t="shared" si="2"/>
        <v>fail</v>
      </c>
      <c r="E32" s="30" t="str">
        <f t="shared" si="3"/>
        <v>Notselected</v>
      </c>
      <c r="F32" s="29" t="str">
        <f t="shared" si="4"/>
        <v>Not Selected</v>
      </c>
      <c r="G32" s="69"/>
      <c r="H32" s="69"/>
      <c r="I32" s="69"/>
      <c r="J32" s="69"/>
    </row>
    <row r="33" spans="2:7" x14ac:dyDescent="0.35">
      <c r="B33" s="30" t="s">
        <v>115</v>
      </c>
      <c r="C33" s="30">
        <v>60</v>
      </c>
      <c r="D33" s="30" t="str">
        <f t="shared" si="2"/>
        <v>Pass</v>
      </c>
      <c r="E33" s="30" t="str">
        <f t="shared" si="3"/>
        <v>Notselected</v>
      </c>
      <c r="F33" s="29" t="str">
        <f t="shared" si="4"/>
        <v>Not Selected</v>
      </c>
    </row>
    <row r="34" spans="2:7" x14ac:dyDescent="0.35">
      <c r="F34" s="29" t="str">
        <f t="shared" si="4"/>
        <v>Not Selected</v>
      </c>
      <c r="G34" s="29" t="s">
        <v>15</v>
      </c>
    </row>
    <row r="35" spans="2:7" x14ac:dyDescent="0.35">
      <c r="F35" s="29" t="str">
        <f t="shared" si="4"/>
        <v>Not Selected</v>
      </c>
      <c r="G35" s="29" t="str">
        <f ca="1">_xlfn.FORMULATEXT(E21)</f>
        <v>=IF(AND(C21&gt;=70,C21&lt;=90),"selected","Notselected")</v>
      </c>
    </row>
    <row r="36" spans="2:7" x14ac:dyDescent="0.35">
      <c r="F36" s="29" t="str">
        <f t="shared" si="4"/>
        <v>Not Selected</v>
      </c>
      <c r="G36" s="29" t="s">
        <v>356</v>
      </c>
    </row>
  </sheetData>
  <mergeCells count="6">
    <mergeCell ref="G1:L1"/>
    <mergeCell ref="G21:J24"/>
    <mergeCell ref="G29:J32"/>
    <mergeCell ref="G10:L12"/>
    <mergeCell ref="G4:L5"/>
    <mergeCell ref="G17:L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3E3B-99B2-4E59-90F8-161216549ED7}">
  <dimension ref="B1:H25"/>
  <sheetViews>
    <sheetView topLeftCell="A9" workbookViewId="0">
      <selection activeCell="G17" sqref="G17:G25"/>
    </sheetView>
  </sheetViews>
  <sheetFormatPr defaultRowHeight="20.399999999999999" x14ac:dyDescent="0.35"/>
  <cols>
    <col min="7" max="7" width="13.6640625" bestFit="1" customWidth="1"/>
  </cols>
  <sheetData>
    <row r="1" spans="2:8" ht="21" x14ac:dyDescent="0.35">
      <c r="C1" s="48" t="s">
        <v>237</v>
      </c>
      <c r="D1" s="43"/>
      <c r="E1" s="43"/>
      <c r="F1" s="43"/>
      <c r="G1" s="43"/>
      <c r="H1" s="43"/>
    </row>
    <row r="3" spans="2:8" x14ac:dyDescent="0.35">
      <c r="B3" s="40" t="s">
        <v>220</v>
      </c>
      <c r="C3" s="40" t="s">
        <v>221</v>
      </c>
      <c r="D3" s="40" t="s">
        <v>222</v>
      </c>
      <c r="E3" s="40" t="s">
        <v>223</v>
      </c>
      <c r="F3" s="40" t="s">
        <v>224</v>
      </c>
      <c r="G3" s="40" t="s">
        <v>225</v>
      </c>
    </row>
    <row r="4" spans="2:8" x14ac:dyDescent="0.35">
      <c r="B4" s="41" t="s">
        <v>226</v>
      </c>
      <c r="C4" s="42" t="s">
        <v>227</v>
      </c>
      <c r="D4" s="42" t="s">
        <v>227</v>
      </c>
      <c r="E4" s="42" t="s">
        <v>228</v>
      </c>
      <c r="F4" s="42" t="s">
        <v>227</v>
      </c>
      <c r="G4" s="41" t="str">
        <f>IF(AND(C4="PASS",D4="PASS",E4="PASS",F4="PASS"),"YES","NO")</f>
        <v>NO</v>
      </c>
    </row>
    <row r="5" spans="2:8" x14ac:dyDescent="0.35">
      <c r="B5" s="41" t="s">
        <v>229</v>
      </c>
      <c r="C5" s="42" t="s">
        <v>227</v>
      </c>
      <c r="D5" s="42" t="s">
        <v>227</v>
      </c>
      <c r="E5" s="42" t="s">
        <v>227</v>
      </c>
      <c r="F5" s="42" t="s">
        <v>227</v>
      </c>
      <c r="G5" s="41" t="str">
        <f>IF(AND(C5="PASS",D5="PASS",E5="PASS",F5="PASS"),"YES","NO")</f>
        <v>YES</v>
      </c>
    </row>
    <row r="6" spans="2:8" x14ac:dyDescent="0.35">
      <c r="B6" s="41" t="s">
        <v>230</v>
      </c>
      <c r="C6" s="42" t="s">
        <v>227</v>
      </c>
      <c r="D6" s="42" t="s">
        <v>228</v>
      </c>
      <c r="E6" s="42" t="s">
        <v>227</v>
      </c>
      <c r="F6" s="42" t="s">
        <v>227</v>
      </c>
      <c r="G6" s="41" t="str">
        <f t="shared" ref="G5:G12" si="0">IF(AND(C6="PASS",D6="PASS",E6="PASS",F6="PASS"),"YES","NO")</f>
        <v>NO</v>
      </c>
    </row>
    <row r="7" spans="2:8" x14ac:dyDescent="0.35">
      <c r="B7" s="41" t="s">
        <v>231</v>
      </c>
      <c r="C7" s="42" t="s">
        <v>227</v>
      </c>
      <c r="D7" s="42" t="s">
        <v>227</v>
      </c>
      <c r="E7" s="42" t="s">
        <v>227</v>
      </c>
      <c r="F7" s="42" t="s">
        <v>227</v>
      </c>
      <c r="G7" s="41" t="str">
        <f t="shared" si="0"/>
        <v>YES</v>
      </c>
      <c r="H7" s="84" t="s">
        <v>358</v>
      </c>
    </row>
    <row r="8" spans="2:8" x14ac:dyDescent="0.35">
      <c r="B8" s="41" t="s">
        <v>232</v>
      </c>
      <c r="C8" s="42" t="s">
        <v>227</v>
      </c>
      <c r="D8" s="42" t="s">
        <v>228</v>
      </c>
      <c r="E8" s="42" t="s">
        <v>227</v>
      </c>
      <c r="F8" s="42" t="s">
        <v>227</v>
      </c>
      <c r="G8" s="41" t="str">
        <f t="shared" si="0"/>
        <v>NO</v>
      </c>
    </row>
    <row r="9" spans="2:8" x14ac:dyDescent="0.35">
      <c r="B9" s="41" t="s">
        <v>233</v>
      </c>
      <c r="C9" s="42" t="s">
        <v>228</v>
      </c>
      <c r="D9" s="42" t="s">
        <v>227</v>
      </c>
      <c r="E9" s="42" t="s">
        <v>227</v>
      </c>
      <c r="F9" s="42" t="s">
        <v>227</v>
      </c>
      <c r="G9" s="41" t="str">
        <f t="shared" si="0"/>
        <v>NO</v>
      </c>
    </row>
    <row r="10" spans="2:8" x14ac:dyDescent="0.35">
      <c r="B10" s="41" t="s">
        <v>234</v>
      </c>
      <c r="C10" s="42" t="s">
        <v>227</v>
      </c>
      <c r="D10" s="42" t="s">
        <v>227</v>
      </c>
      <c r="E10" s="42" t="s">
        <v>227</v>
      </c>
      <c r="F10" s="42" t="s">
        <v>228</v>
      </c>
      <c r="G10" s="41" t="str">
        <f t="shared" si="0"/>
        <v>NO</v>
      </c>
    </row>
    <row r="11" spans="2:8" x14ac:dyDescent="0.35">
      <c r="B11" s="41" t="s">
        <v>235</v>
      </c>
      <c r="C11" s="42" t="s">
        <v>227</v>
      </c>
      <c r="D11" s="42" t="s">
        <v>227</v>
      </c>
      <c r="E11" s="42" t="s">
        <v>228</v>
      </c>
      <c r="F11" s="42" t="s">
        <v>227</v>
      </c>
      <c r="G11" s="41" t="str">
        <f t="shared" si="0"/>
        <v>NO</v>
      </c>
    </row>
    <row r="12" spans="2:8" x14ac:dyDescent="0.35">
      <c r="B12" s="41" t="s">
        <v>236</v>
      </c>
      <c r="C12" s="42" t="s">
        <v>227</v>
      </c>
      <c r="D12" s="42" t="s">
        <v>227</v>
      </c>
      <c r="E12" s="42" t="s">
        <v>227</v>
      </c>
      <c r="F12" s="42" t="s">
        <v>227</v>
      </c>
      <c r="G12" s="41" t="str">
        <f t="shared" si="0"/>
        <v>YES</v>
      </c>
    </row>
    <row r="14" spans="2:8" ht="21" x14ac:dyDescent="0.35">
      <c r="C14" s="48" t="s">
        <v>238</v>
      </c>
    </row>
    <row r="16" spans="2:8" x14ac:dyDescent="0.35">
      <c r="B16" s="40" t="s">
        <v>220</v>
      </c>
      <c r="C16" s="40" t="s">
        <v>221</v>
      </c>
      <c r="D16" s="40" t="s">
        <v>222</v>
      </c>
      <c r="E16" s="40" t="s">
        <v>223</v>
      </c>
      <c r="F16" s="40" t="s">
        <v>224</v>
      </c>
      <c r="G16" s="40" t="s">
        <v>225</v>
      </c>
    </row>
    <row r="17" spans="2:7" x14ac:dyDescent="0.35">
      <c r="B17" s="41" t="s">
        <v>226</v>
      </c>
      <c r="C17" s="42" t="s">
        <v>227</v>
      </c>
      <c r="D17" s="42" t="s">
        <v>227</v>
      </c>
      <c r="E17" s="42" t="s">
        <v>228</v>
      </c>
      <c r="F17" s="42" t="s">
        <v>227</v>
      </c>
      <c r="G17" s="41" t="str">
        <f>IF(AND(C5="PASS",D5="PASS",E5="PASS",F5="PASS"),"YES","NO")</f>
        <v>YES</v>
      </c>
    </row>
    <row r="18" spans="2:7" x14ac:dyDescent="0.35">
      <c r="B18" s="41" t="s">
        <v>229</v>
      </c>
      <c r="C18" s="42" t="s">
        <v>227</v>
      </c>
      <c r="D18" s="42" t="s">
        <v>227</v>
      </c>
      <c r="E18" s="42" t="s">
        <v>227</v>
      </c>
      <c r="F18" s="42" t="s">
        <v>227</v>
      </c>
      <c r="G18" s="41" t="str">
        <f t="shared" ref="G18:G25" si="1">IF(AND(C6="PASS",D6="PASS",E6="PASS",F6="PASS"),"YES","NO")</f>
        <v>NO</v>
      </c>
    </row>
    <row r="19" spans="2:7" x14ac:dyDescent="0.35">
      <c r="B19" s="41" t="s">
        <v>230</v>
      </c>
      <c r="C19" s="42" t="s">
        <v>227</v>
      </c>
      <c r="D19" s="42" t="s">
        <v>228</v>
      </c>
      <c r="E19" s="42" t="s">
        <v>228</v>
      </c>
      <c r="F19" s="42" t="s">
        <v>227</v>
      </c>
      <c r="G19" s="41" t="str">
        <f t="shared" si="1"/>
        <v>YES</v>
      </c>
    </row>
    <row r="20" spans="2:7" x14ac:dyDescent="0.35">
      <c r="B20" s="41" t="s">
        <v>231</v>
      </c>
      <c r="C20" s="42" t="s">
        <v>227</v>
      </c>
      <c r="D20" s="42" t="s">
        <v>227</v>
      </c>
      <c r="E20" s="42" t="s">
        <v>227</v>
      </c>
      <c r="F20" s="42" t="s">
        <v>227</v>
      </c>
      <c r="G20" s="41" t="str">
        <f t="shared" si="1"/>
        <v>NO</v>
      </c>
    </row>
    <row r="21" spans="2:7" x14ac:dyDescent="0.35">
      <c r="B21" s="41" t="s">
        <v>232</v>
      </c>
      <c r="C21" s="42" t="s">
        <v>227</v>
      </c>
      <c r="D21" s="42" t="s">
        <v>228</v>
      </c>
      <c r="E21" s="42" t="s">
        <v>227</v>
      </c>
      <c r="F21" s="42" t="s">
        <v>227</v>
      </c>
      <c r="G21" s="41" t="str">
        <f t="shared" si="1"/>
        <v>NO</v>
      </c>
    </row>
    <row r="22" spans="2:7" x14ac:dyDescent="0.35">
      <c r="B22" s="41" t="s">
        <v>233</v>
      </c>
      <c r="C22" s="42" t="s">
        <v>228</v>
      </c>
      <c r="D22" s="42" t="s">
        <v>227</v>
      </c>
      <c r="E22" s="42" t="s">
        <v>227</v>
      </c>
      <c r="F22" s="42" t="s">
        <v>227</v>
      </c>
      <c r="G22" s="41" t="str">
        <f t="shared" si="1"/>
        <v>NO</v>
      </c>
    </row>
    <row r="23" spans="2:7" x14ac:dyDescent="0.35">
      <c r="B23" s="41" t="s">
        <v>234</v>
      </c>
      <c r="C23" s="42" t="s">
        <v>227</v>
      </c>
      <c r="D23" s="42" t="s">
        <v>227</v>
      </c>
      <c r="E23" s="42" t="s">
        <v>227</v>
      </c>
      <c r="F23" s="42" t="s">
        <v>228</v>
      </c>
      <c r="G23" s="41" t="str">
        <f t="shared" si="1"/>
        <v>NO</v>
      </c>
    </row>
    <row r="24" spans="2:7" x14ac:dyDescent="0.35">
      <c r="B24" s="41" t="s">
        <v>235</v>
      </c>
      <c r="C24" s="42" t="s">
        <v>228</v>
      </c>
      <c r="D24" s="42" t="s">
        <v>227</v>
      </c>
      <c r="E24" s="42" t="s">
        <v>228</v>
      </c>
      <c r="F24" s="42" t="s">
        <v>227</v>
      </c>
      <c r="G24" s="41" t="str">
        <f t="shared" si="1"/>
        <v>YES</v>
      </c>
    </row>
    <row r="25" spans="2:7" x14ac:dyDescent="0.35">
      <c r="B25" s="41" t="s">
        <v>236</v>
      </c>
      <c r="C25" s="42" t="s">
        <v>227</v>
      </c>
      <c r="D25" s="42" t="s">
        <v>227</v>
      </c>
      <c r="E25" s="42" t="s">
        <v>227</v>
      </c>
      <c r="F25" s="42" t="s">
        <v>227</v>
      </c>
      <c r="G25" s="41" t="str">
        <f t="shared" si="1"/>
        <v>NO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3E25-F4BA-49A2-8DCE-A5BC3564771A}">
  <dimension ref="A1:H19"/>
  <sheetViews>
    <sheetView workbookViewId="0">
      <selection activeCell="F20" sqref="F20"/>
    </sheetView>
  </sheetViews>
  <sheetFormatPr defaultRowHeight="20.399999999999999" x14ac:dyDescent="0.35"/>
  <cols>
    <col min="5" max="5" width="13.86328125" bestFit="1" customWidth="1"/>
    <col min="6" max="6" width="17.796875" customWidth="1"/>
    <col min="7" max="7" width="17.06640625" bestFit="1" customWidth="1"/>
    <col min="8" max="8" width="10.46484375" bestFit="1" customWidth="1"/>
  </cols>
  <sheetData>
    <row r="1" spans="1:8" x14ac:dyDescent="0.35">
      <c r="E1" t="s">
        <v>123</v>
      </c>
      <c r="F1" t="s">
        <v>92</v>
      </c>
    </row>
    <row r="2" spans="1:8" x14ac:dyDescent="0.35">
      <c r="A2" t="s">
        <v>347</v>
      </c>
      <c r="E2" t="s">
        <v>124</v>
      </c>
      <c r="F2" s="14">
        <f ca="1">NOW()</f>
        <v>46299.769233101855</v>
      </c>
    </row>
    <row r="3" spans="1:8" x14ac:dyDescent="0.35">
      <c r="A3" t="s">
        <v>348</v>
      </c>
      <c r="B3" t="s">
        <v>349</v>
      </c>
      <c r="E3" t="s">
        <v>125</v>
      </c>
      <c r="F3" s="13">
        <f ca="1">TODAY()</f>
        <v>46299</v>
      </c>
    </row>
    <row r="4" spans="1:8" ht="40.799999999999997" x14ac:dyDescent="0.35">
      <c r="A4" s="53" t="s">
        <v>350</v>
      </c>
      <c r="B4" t="s">
        <v>351</v>
      </c>
      <c r="E4" t="s">
        <v>126</v>
      </c>
      <c r="F4">
        <f ca="1">YEAR(F3)</f>
        <v>2026</v>
      </c>
      <c r="H4" s="13"/>
    </row>
    <row r="5" spans="1:8" x14ac:dyDescent="0.35">
      <c r="E5" t="s">
        <v>127</v>
      </c>
      <c r="F5">
        <f ca="1">MONTH(F3)</f>
        <v>10</v>
      </c>
    </row>
    <row r="6" spans="1:8" x14ac:dyDescent="0.35">
      <c r="E6" t="s">
        <v>128</v>
      </c>
      <c r="F6">
        <f ca="1">DAY(F3)</f>
        <v>4</v>
      </c>
    </row>
    <row r="7" spans="1:8" x14ac:dyDescent="0.35">
      <c r="E7" t="s">
        <v>129</v>
      </c>
      <c r="F7" s="13">
        <f ca="1">DATE(F4,F5,F6)</f>
        <v>46299</v>
      </c>
    </row>
    <row r="8" spans="1:8" x14ac:dyDescent="0.35">
      <c r="E8" t="s">
        <v>130</v>
      </c>
      <c r="F8">
        <f ca="1">HOUR(F2)</f>
        <v>18</v>
      </c>
    </row>
    <row r="9" spans="1:8" x14ac:dyDescent="0.35">
      <c r="E9" t="s">
        <v>131</v>
      </c>
      <c r="F9" s="14">
        <f ca="1">MINUTE(NOW())</f>
        <v>27</v>
      </c>
    </row>
    <row r="10" spans="1:8" x14ac:dyDescent="0.35">
      <c r="E10" t="s">
        <v>132</v>
      </c>
      <c r="F10">
        <f ca="1">SECOND(F9)</f>
        <v>0</v>
      </c>
    </row>
    <row r="11" spans="1:8" x14ac:dyDescent="0.35">
      <c r="E11" t="s">
        <v>133</v>
      </c>
      <c r="F11" s="15">
        <f ca="1">TIME(F8,F9,F10)</f>
        <v>0.76874999999999993</v>
      </c>
    </row>
    <row r="12" spans="1:8" x14ac:dyDescent="0.35">
      <c r="E12" t="s">
        <v>134</v>
      </c>
      <c r="F12">
        <f ca="1">WEEKDAY(F2,1)</f>
        <v>1</v>
      </c>
    </row>
    <row r="13" spans="1:8" x14ac:dyDescent="0.35">
      <c r="E13" t="s">
        <v>135</v>
      </c>
      <c r="F13">
        <f ca="1">WEEKNUM(F2,1)</f>
        <v>41</v>
      </c>
    </row>
    <row r="14" spans="1:8" x14ac:dyDescent="0.35">
      <c r="E14" t="s">
        <v>136</v>
      </c>
      <c r="F14" t="str">
        <f ca="1">TEXT(F6,"DDD")</f>
        <v>Wed</v>
      </c>
    </row>
    <row r="15" spans="1:8" x14ac:dyDescent="0.35">
      <c r="E15" t="s">
        <v>137</v>
      </c>
      <c r="F15" t="str">
        <f ca="1">TEXT(F6,"DDDD")</f>
        <v>Wednesday</v>
      </c>
    </row>
    <row r="16" spans="1:8" x14ac:dyDescent="0.35">
      <c r="E16" t="s">
        <v>138</v>
      </c>
      <c r="F16" t="str">
        <f ca="1">TEXT(F5,"MMM")</f>
        <v>Jan</v>
      </c>
    </row>
    <row r="17" spans="5:6" x14ac:dyDescent="0.35">
      <c r="E17" t="s">
        <v>139</v>
      </c>
      <c r="F17" t="str">
        <f ca="1">TEXT(F5,"MMMM")</f>
        <v>January</v>
      </c>
    </row>
    <row r="18" spans="5:6" x14ac:dyDescent="0.35">
      <c r="E18" t="s">
        <v>140</v>
      </c>
      <c r="F18" t="str">
        <f ca="1">TEXT(F2,"YY")</f>
        <v>26</v>
      </c>
    </row>
    <row r="19" spans="5:6" x14ac:dyDescent="0.35">
      <c r="E19" t="s">
        <v>141</v>
      </c>
      <c r="F19" t="str">
        <f ca="1">TEXT(F2,"YYYY")</f>
        <v>2026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B316-082F-4399-BBB9-2BB9CDA06106}">
  <dimension ref="A2:E18"/>
  <sheetViews>
    <sheetView workbookViewId="0">
      <selection activeCell="C12" sqref="C12:C18"/>
    </sheetView>
  </sheetViews>
  <sheetFormatPr defaultRowHeight="20.399999999999999" x14ac:dyDescent="0.35"/>
  <cols>
    <col min="1" max="1" width="9" bestFit="1" customWidth="1"/>
    <col min="2" max="2" width="6.53125" bestFit="1" customWidth="1"/>
    <col min="3" max="3" width="9.19921875" bestFit="1" customWidth="1"/>
    <col min="4" max="4" width="20.33203125" bestFit="1" customWidth="1"/>
    <col min="5" max="5" width="10.46484375" bestFit="1" customWidth="1"/>
  </cols>
  <sheetData>
    <row r="2" spans="1:5" ht="70.2" customHeight="1" x14ac:dyDescent="0.35"/>
    <row r="3" spans="1:5" ht="100.2" customHeight="1" x14ac:dyDescent="0.35"/>
    <row r="4" spans="1:5" ht="45.6" customHeight="1" x14ac:dyDescent="0.35">
      <c r="D4" s="13"/>
      <c r="E4" s="13"/>
    </row>
    <row r="5" spans="1:5" x14ac:dyDescent="0.35">
      <c r="D5" s="13"/>
      <c r="E5" s="13"/>
    </row>
    <row r="6" spans="1:5" ht="50.4" customHeight="1" x14ac:dyDescent="0.35"/>
    <row r="7" spans="1:5" ht="68.400000000000006" customHeight="1" x14ac:dyDescent="0.35"/>
    <row r="10" spans="1:5" x14ac:dyDescent="0.35">
      <c r="A10" s="74" t="s">
        <v>142</v>
      </c>
      <c r="B10" s="74"/>
      <c r="C10" s="74"/>
      <c r="D10" s="74"/>
    </row>
    <row r="11" spans="1:5" x14ac:dyDescent="0.35">
      <c r="A11" s="10" t="s">
        <v>129</v>
      </c>
      <c r="B11" s="10" t="s">
        <v>143</v>
      </c>
      <c r="C11" s="10" t="s">
        <v>92</v>
      </c>
      <c r="D11" s="10" t="s">
        <v>144</v>
      </c>
    </row>
    <row r="12" spans="1:5" x14ac:dyDescent="0.35">
      <c r="A12" s="16">
        <v>43554</v>
      </c>
      <c r="B12" s="10">
        <v>1</v>
      </c>
      <c r="C12" s="16">
        <f>EOMONTH(A12,B12)</f>
        <v>43585</v>
      </c>
      <c r="D12" s="10" t="s">
        <v>145</v>
      </c>
    </row>
    <row r="13" spans="1:5" x14ac:dyDescent="0.35">
      <c r="A13" s="16">
        <v>43554</v>
      </c>
      <c r="B13" s="10">
        <v>-1</v>
      </c>
      <c r="C13" s="16">
        <f t="shared" ref="C13:C18" si="0">EOMONTH(A13,B13)</f>
        <v>43524</v>
      </c>
      <c r="D13" s="10" t="s">
        <v>146</v>
      </c>
    </row>
    <row r="14" spans="1:5" x14ac:dyDescent="0.35">
      <c r="A14" s="16">
        <v>43511</v>
      </c>
      <c r="B14" s="10">
        <v>3</v>
      </c>
      <c r="C14" s="16">
        <f t="shared" si="0"/>
        <v>43616</v>
      </c>
      <c r="D14" s="10" t="s">
        <v>147</v>
      </c>
    </row>
    <row r="15" spans="1:5" x14ac:dyDescent="0.35">
      <c r="A15" s="16">
        <v>43511</v>
      </c>
      <c r="B15" s="10">
        <v>-6</v>
      </c>
      <c r="C15" s="16">
        <f t="shared" si="0"/>
        <v>43343</v>
      </c>
      <c r="D15" s="10" t="s">
        <v>148</v>
      </c>
    </row>
    <row r="16" spans="1:5" x14ac:dyDescent="0.35">
      <c r="A16" s="16">
        <v>43539</v>
      </c>
      <c r="B16" s="10">
        <v>18</v>
      </c>
      <c r="C16" s="16">
        <f t="shared" si="0"/>
        <v>44104</v>
      </c>
      <c r="D16" s="10" t="s">
        <v>149</v>
      </c>
    </row>
    <row r="17" spans="1:4" x14ac:dyDescent="0.35">
      <c r="A17" s="16">
        <v>43286</v>
      </c>
      <c r="B17" s="10">
        <v>24</v>
      </c>
      <c r="C17" s="16">
        <f t="shared" si="0"/>
        <v>44043</v>
      </c>
      <c r="D17" s="10" t="s">
        <v>150</v>
      </c>
    </row>
    <row r="18" spans="1:4" x14ac:dyDescent="0.35">
      <c r="A18" s="16">
        <v>43355</v>
      </c>
      <c r="B18" s="10">
        <v>60</v>
      </c>
      <c r="C18" s="16">
        <f t="shared" si="0"/>
        <v>45199</v>
      </c>
      <c r="D18" s="10" t="s">
        <v>151</v>
      </c>
    </row>
  </sheetData>
  <mergeCells count="1">
    <mergeCell ref="A10:D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86D4-BF56-44B3-8AAA-D8D6C35EB2B2}">
  <dimension ref="A1:R32"/>
  <sheetViews>
    <sheetView topLeftCell="A2" workbookViewId="0">
      <selection activeCell="R13" sqref="R13"/>
    </sheetView>
  </sheetViews>
  <sheetFormatPr defaultRowHeight="20.399999999999999" x14ac:dyDescent="0.35"/>
  <cols>
    <col min="1" max="1" width="14.06640625" bestFit="1" customWidth="1"/>
    <col min="4" max="5" width="11.46484375" bestFit="1" customWidth="1"/>
    <col min="6" max="6" width="14.06640625" bestFit="1" customWidth="1"/>
    <col min="7" max="7" width="24.265625" bestFit="1" customWidth="1"/>
    <col min="8" max="8" width="11.19921875" customWidth="1"/>
    <col min="9" max="9" width="15.06640625" bestFit="1" customWidth="1"/>
    <col min="13" max="13" width="12" bestFit="1" customWidth="1"/>
    <col min="14" max="14" width="10.9296875" bestFit="1" customWidth="1"/>
    <col min="16" max="17" width="24.3984375" bestFit="1" customWidth="1"/>
    <col min="18" max="18" width="14.6640625" bestFit="1" customWidth="1"/>
    <col min="19" max="19" width="4.06640625" bestFit="1" customWidth="1"/>
    <col min="20" max="20" width="5.59765625" bestFit="1" customWidth="1"/>
    <col min="21" max="21" width="36.33203125" bestFit="1" customWidth="1"/>
  </cols>
  <sheetData>
    <row r="1" spans="1:18" x14ac:dyDescent="0.35">
      <c r="D1" s="75" t="s">
        <v>152</v>
      </c>
      <c r="E1" s="75"/>
      <c r="F1" s="75"/>
      <c r="G1" s="75"/>
      <c r="M1" s="76" t="s">
        <v>153</v>
      </c>
      <c r="N1" s="76"/>
    </row>
    <row r="2" spans="1:18" x14ac:dyDescent="0.35">
      <c r="D2" s="74" t="s">
        <v>154</v>
      </c>
      <c r="E2" s="74"/>
      <c r="F2" s="74"/>
      <c r="G2" s="74"/>
      <c r="M2" s="12" t="s">
        <v>155</v>
      </c>
      <c r="N2" s="12" t="s">
        <v>156</v>
      </c>
      <c r="P2" s="10" t="s">
        <v>157</v>
      </c>
      <c r="Q2" s="10" t="s">
        <v>92</v>
      </c>
      <c r="R2" s="10" t="s">
        <v>158</v>
      </c>
    </row>
    <row r="3" spans="1:18" x14ac:dyDescent="0.35">
      <c r="A3" t="s">
        <v>154</v>
      </c>
      <c r="D3" s="10" t="s">
        <v>159</v>
      </c>
      <c r="E3" s="10" t="s">
        <v>160</v>
      </c>
      <c r="F3" s="10" t="s">
        <v>154</v>
      </c>
      <c r="G3" s="10" t="s">
        <v>161</v>
      </c>
      <c r="I3" s="75" t="s">
        <v>162</v>
      </c>
      <c r="J3" s="75"/>
      <c r="M3" s="17">
        <v>27615</v>
      </c>
      <c r="N3" s="17">
        <f ca="1">TODAY()</f>
        <v>46299</v>
      </c>
      <c r="P3" s="10" t="s">
        <v>163</v>
      </c>
      <c r="Q3" s="11">
        <f ca="1">DATEDIF(M3,N3,"Y")</f>
        <v>51</v>
      </c>
      <c r="R3" s="11" t="s">
        <v>164</v>
      </c>
    </row>
    <row r="4" spans="1:18" x14ac:dyDescent="0.35">
      <c r="A4" t="s">
        <v>165</v>
      </c>
      <c r="D4" s="17">
        <v>45658</v>
      </c>
      <c r="E4" s="17">
        <f>EOMONTH(D4,0)</f>
        <v>45688</v>
      </c>
      <c r="F4" s="10">
        <f>NETWORKDAYS(D4,E4)</f>
        <v>23</v>
      </c>
      <c r="G4" s="10">
        <f>NETWORKDAYS(D4,E4,Jan_HD)</f>
        <v>21</v>
      </c>
      <c r="I4" s="12" t="s">
        <v>166</v>
      </c>
      <c r="J4" s="12" t="s">
        <v>167</v>
      </c>
      <c r="K4" t="s">
        <v>287</v>
      </c>
      <c r="M4" s="18"/>
      <c r="N4" s="18"/>
      <c r="P4" s="10" t="s">
        <v>168</v>
      </c>
      <c r="Q4" s="11">
        <f ca="1">DATEDIF(M3,N3,"M")</f>
        <v>613</v>
      </c>
      <c r="R4" s="11" t="s">
        <v>169</v>
      </c>
    </row>
    <row r="5" spans="1:18" x14ac:dyDescent="0.35">
      <c r="A5" t="s">
        <v>170</v>
      </c>
      <c r="D5" s="17">
        <v>45870</v>
      </c>
      <c r="E5" s="17">
        <f>EOMONTH(D5,0)</f>
        <v>45900</v>
      </c>
      <c r="F5" s="10">
        <f>NETWORKDAYS(D5,E5)</f>
        <v>21</v>
      </c>
      <c r="G5" s="10">
        <f>NETWORKDAYS(D5,E5,Jan_HD)</f>
        <v>21</v>
      </c>
      <c r="I5" s="10" t="s">
        <v>171</v>
      </c>
      <c r="J5" s="16">
        <v>45658</v>
      </c>
      <c r="K5" t="str">
        <f>TEXT(J5,"DDD")</f>
        <v>Wed</v>
      </c>
      <c r="M5" s="18"/>
      <c r="N5" s="18"/>
      <c r="P5" s="10" t="s">
        <v>172</v>
      </c>
      <c r="Q5" s="11">
        <f ca="1">DATEDIF(M3,N3,"D")</f>
        <v>18684</v>
      </c>
      <c r="R5" s="11" t="s">
        <v>173</v>
      </c>
    </row>
    <row r="6" spans="1:18" x14ac:dyDescent="0.35">
      <c r="A6" t="s">
        <v>174</v>
      </c>
      <c r="I6" s="10" t="s">
        <v>175</v>
      </c>
      <c r="J6" s="16">
        <v>45671</v>
      </c>
      <c r="K6" t="str">
        <f t="shared" ref="K6:K7" si="0">TEXT(J6,"DDD")</f>
        <v>Tue</v>
      </c>
      <c r="M6" s="18"/>
      <c r="N6" s="18"/>
    </row>
    <row r="7" spans="1:18" x14ac:dyDescent="0.35">
      <c r="A7" t="s">
        <v>176</v>
      </c>
      <c r="I7" s="10" t="s">
        <v>177</v>
      </c>
      <c r="J7" s="16">
        <v>45683</v>
      </c>
      <c r="K7" t="str">
        <f t="shared" si="0"/>
        <v>Sun</v>
      </c>
      <c r="M7" s="18"/>
      <c r="N7" s="18"/>
    </row>
    <row r="8" spans="1:18" x14ac:dyDescent="0.35">
      <c r="D8" s="77"/>
      <c r="E8" s="77"/>
      <c r="F8" s="77"/>
      <c r="G8" s="77"/>
      <c r="M8" s="18"/>
      <c r="N8" s="18"/>
    </row>
    <row r="9" spans="1:18" x14ac:dyDescent="0.35">
      <c r="D9" s="75" t="s">
        <v>178</v>
      </c>
      <c r="E9" s="75"/>
      <c r="F9" s="75"/>
      <c r="G9" s="75"/>
      <c r="I9" s="75" t="s">
        <v>179</v>
      </c>
      <c r="J9" s="75"/>
      <c r="M9" s="18"/>
      <c r="N9" s="18"/>
    </row>
    <row r="10" spans="1:18" x14ac:dyDescent="0.35">
      <c r="D10" s="74" t="s">
        <v>165</v>
      </c>
      <c r="E10" s="74"/>
      <c r="F10" s="74"/>
      <c r="G10" s="74"/>
      <c r="I10" s="12" t="s">
        <v>166</v>
      </c>
      <c r="J10" s="12" t="s">
        <v>167</v>
      </c>
      <c r="K10" t="s">
        <v>287</v>
      </c>
      <c r="M10" s="18"/>
      <c r="N10" s="18"/>
    </row>
    <row r="11" spans="1:18" x14ac:dyDescent="0.35">
      <c r="D11" s="10" t="s">
        <v>159</v>
      </c>
      <c r="E11" s="10" t="s">
        <v>160</v>
      </c>
      <c r="F11" s="10" t="s">
        <v>165</v>
      </c>
      <c r="G11" s="10" t="s">
        <v>180</v>
      </c>
      <c r="I11" s="10" t="s">
        <v>181</v>
      </c>
      <c r="J11" s="16">
        <v>45884</v>
      </c>
      <c r="K11" t="str">
        <f>TEXT(Aug_HD,"DDDD")</f>
        <v>Friday</v>
      </c>
      <c r="M11" s="19" t="s">
        <v>182</v>
      </c>
      <c r="N11" s="19" t="s">
        <v>156</v>
      </c>
      <c r="P11" s="10" t="s">
        <v>219</v>
      </c>
      <c r="Q11" s="10" t="s">
        <v>168</v>
      </c>
      <c r="R11" s="10" t="s">
        <v>172</v>
      </c>
    </row>
    <row r="12" spans="1:18" x14ac:dyDescent="0.35">
      <c r="D12" s="17">
        <v>45658</v>
      </c>
      <c r="E12" s="17">
        <f>EOMONTH(D12,0)</f>
        <v>45688</v>
      </c>
      <c r="F12" s="10">
        <f>NETWORKDAYS.INTL(D12,E12,11)</f>
        <v>27</v>
      </c>
      <c r="G12" s="10">
        <f>NETWORKDAYS.INTL(D12,E12,11,Jan_HD)</f>
        <v>25</v>
      </c>
      <c r="M12" s="17">
        <v>44477</v>
      </c>
      <c r="N12" s="17">
        <f ca="1">TODAY()</f>
        <v>46299</v>
      </c>
      <c r="P12" s="10">
        <f ca="1">DATEDIF(M3,N3,"Y")</f>
        <v>51</v>
      </c>
      <c r="Q12" s="10">
        <f ca="1">DATEDIF(M3,N3,"M")</f>
        <v>613</v>
      </c>
      <c r="R12" s="10">
        <f ca="1">DATEDIF(M3,N3,"Y")</f>
        <v>51</v>
      </c>
    </row>
    <row r="13" spans="1:18" x14ac:dyDescent="0.35">
      <c r="D13" s="17">
        <v>45870</v>
      </c>
      <c r="E13" s="17">
        <f>EOMONTH(D13,0)</f>
        <v>45900</v>
      </c>
      <c r="F13" s="10">
        <f>NETWORKDAYS.INTL(D13,E13,11)</f>
        <v>26</v>
      </c>
      <c r="G13" s="10">
        <f>NETWORKDAYS.INTL(D13,E13,11,Aug_HD)</f>
        <v>25</v>
      </c>
      <c r="M13" s="17">
        <v>44799</v>
      </c>
      <c r="N13" s="17">
        <f t="shared" ref="N13:N15" ca="1" si="1">TODAY()</f>
        <v>46299</v>
      </c>
      <c r="P13" s="10"/>
      <c r="Q13" s="10"/>
      <c r="R13" s="10"/>
    </row>
    <row r="14" spans="1:18" x14ac:dyDescent="0.35">
      <c r="M14" s="17">
        <v>44526</v>
      </c>
      <c r="N14" s="17">
        <f t="shared" ca="1" si="1"/>
        <v>46299</v>
      </c>
      <c r="P14" s="10"/>
      <c r="Q14" s="10"/>
      <c r="R14" s="10"/>
    </row>
    <row r="15" spans="1:18" x14ac:dyDescent="0.35">
      <c r="M15" s="17">
        <v>44915</v>
      </c>
      <c r="N15" s="17">
        <f t="shared" ca="1" si="1"/>
        <v>46299</v>
      </c>
      <c r="P15" s="10"/>
      <c r="Q15" s="10"/>
      <c r="R15" s="10"/>
    </row>
    <row r="18" spans="4:7" x14ac:dyDescent="0.35">
      <c r="D18" s="78" t="s">
        <v>152</v>
      </c>
      <c r="E18" s="79"/>
      <c r="F18" s="79"/>
      <c r="G18" s="80"/>
    </row>
    <row r="19" spans="4:7" x14ac:dyDescent="0.35">
      <c r="D19" s="81" t="s">
        <v>170</v>
      </c>
      <c r="E19" s="82"/>
      <c r="F19" s="82"/>
      <c r="G19" s="83"/>
    </row>
    <row r="20" spans="4:7" x14ac:dyDescent="0.35">
      <c r="D20" s="10" t="s">
        <v>183</v>
      </c>
      <c r="E20" s="10" t="s">
        <v>184</v>
      </c>
      <c r="F20" s="10" t="s">
        <v>185</v>
      </c>
      <c r="G20" s="10" t="s">
        <v>186</v>
      </c>
    </row>
    <row r="21" spans="4:7" x14ac:dyDescent="0.35">
      <c r="D21" s="17">
        <v>45658</v>
      </c>
      <c r="E21" s="11">
        <v>20</v>
      </c>
      <c r="F21" s="36">
        <f>WORKDAY(D21,E21)</f>
        <v>45686</v>
      </c>
      <c r="G21" s="36">
        <f>WORKDAY(D21,E21,Jan_HD)</f>
        <v>45687</v>
      </c>
    </row>
    <row r="22" spans="4:7" x14ac:dyDescent="0.35">
      <c r="D22" s="17">
        <v>45870</v>
      </c>
      <c r="E22" s="11">
        <v>18</v>
      </c>
      <c r="F22" s="36">
        <f>WORKDAY(D22,E22)</f>
        <v>45896</v>
      </c>
      <c r="G22" s="36">
        <f>WORKDAY(D22,E22,Aug_HD)</f>
        <v>45897</v>
      </c>
    </row>
    <row r="28" spans="4:7" x14ac:dyDescent="0.35">
      <c r="D28" s="78" t="s">
        <v>178</v>
      </c>
      <c r="E28" s="79"/>
      <c r="F28" s="79"/>
      <c r="G28" s="80"/>
    </row>
    <row r="29" spans="4:7" x14ac:dyDescent="0.35">
      <c r="D29" s="81" t="s">
        <v>174</v>
      </c>
      <c r="E29" s="82"/>
      <c r="F29" s="82"/>
      <c r="G29" s="83"/>
    </row>
    <row r="30" spans="4:7" x14ac:dyDescent="0.35">
      <c r="D30" s="10" t="s">
        <v>183</v>
      </c>
      <c r="E30" s="10" t="s">
        <v>184</v>
      </c>
      <c r="F30" s="10" t="s">
        <v>185</v>
      </c>
      <c r="G30" s="10" t="s">
        <v>186</v>
      </c>
    </row>
    <row r="31" spans="4:7" x14ac:dyDescent="0.35">
      <c r="D31" s="17">
        <v>45658</v>
      </c>
      <c r="E31" s="11">
        <v>20</v>
      </c>
      <c r="F31" s="36">
        <f>WORKDAY.INTL(D31,E31,11)</f>
        <v>45681</v>
      </c>
      <c r="G31" s="36">
        <f>WORKDAY.INTL(D31,E31,11,Jan_HD)</f>
        <v>45682</v>
      </c>
    </row>
    <row r="32" spans="4:7" x14ac:dyDescent="0.35">
      <c r="D32" s="17">
        <v>45870</v>
      </c>
      <c r="E32" s="11">
        <v>18</v>
      </c>
      <c r="F32" s="36"/>
      <c r="G32" s="36"/>
    </row>
  </sheetData>
  <mergeCells count="12">
    <mergeCell ref="D10:G10"/>
    <mergeCell ref="D18:G18"/>
    <mergeCell ref="D19:G19"/>
    <mergeCell ref="D28:G28"/>
    <mergeCell ref="D29:G29"/>
    <mergeCell ref="D9:G9"/>
    <mergeCell ref="I9:J9"/>
    <mergeCell ref="D1:G1"/>
    <mergeCell ref="M1:N1"/>
    <mergeCell ref="D2:G2"/>
    <mergeCell ref="I3:J3"/>
    <mergeCell ref="D8:G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B877-97A3-4AF6-AAA7-720849BBD0FE}">
  <dimension ref="C2:E16"/>
  <sheetViews>
    <sheetView topLeftCell="A6" workbookViewId="0">
      <selection activeCell="D4" sqref="D4:D16"/>
    </sheetView>
  </sheetViews>
  <sheetFormatPr defaultRowHeight="20.399999999999999" x14ac:dyDescent="0.35"/>
  <cols>
    <col min="3" max="3" width="10.46484375" bestFit="1" customWidth="1"/>
  </cols>
  <sheetData>
    <row r="2" spans="3:5" x14ac:dyDescent="0.35">
      <c r="D2" t="s">
        <v>187</v>
      </c>
    </row>
    <row r="3" spans="3:5" x14ac:dyDescent="0.35">
      <c r="C3" s="20" t="s">
        <v>167</v>
      </c>
      <c r="D3" s="20" t="s">
        <v>359</v>
      </c>
      <c r="E3" s="20" t="s">
        <v>360</v>
      </c>
    </row>
    <row r="4" spans="3:5" x14ac:dyDescent="0.35">
      <c r="C4" s="21">
        <f ca="1">TODAY()-RANDBETWEEN(0,200)</f>
        <v>46247</v>
      </c>
      <c r="D4" s="10" t="str">
        <f ca="1">IF(WEEKDAY(C4,2)&lt;=5,"WeekDays","WeekEnd")</f>
        <v>WeekDays</v>
      </c>
    </row>
    <row r="5" spans="3:5" x14ac:dyDescent="0.35">
      <c r="C5" s="21">
        <f t="shared" ref="C5:C16" ca="1" si="0">TODAY()-RANDBETWEEN(0,200)</f>
        <v>46117</v>
      </c>
      <c r="D5" s="10" t="str">
        <f t="shared" ref="D5:D16" ca="1" si="1">IF(WEEKDAY(C5,2)&lt;=5,"WeekDays","WeekEnd")</f>
        <v>WeekEnd</v>
      </c>
    </row>
    <row r="6" spans="3:5" x14ac:dyDescent="0.35">
      <c r="C6" s="21">
        <f t="shared" ca="1" si="0"/>
        <v>46264</v>
      </c>
      <c r="D6" s="10" t="str">
        <f t="shared" ca="1" si="1"/>
        <v>WeekEnd</v>
      </c>
    </row>
    <row r="7" spans="3:5" x14ac:dyDescent="0.35">
      <c r="C7" s="21">
        <f t="shared" ca="1" si="0"/>
        <v>46135</v>
      </c>
      <c r="D7" s="10" t="str">
        <f t="shared" ca="1" si="1"/>
        <v>WeekDays</v>
      </c>
    </row>
    <row r="8" spans="3:5" x14ac:dyDescent="0.35">
      <c r="C8" s="21">
        <f t="shared" ca="1" si="0"/>
        <v>46250</v>
      </c>
      <c r="D8" s="10" t="str">
        <f t="shared" ca="1" si="1"/>
        <v>WeekEnd</v>
      </c>
    </row>
    <row r="9" spans="3:5" x14ac:dyDescent="0.35">
      <c r="C9" s="21">
        <f t="shared" ca="1" si="0"/>
        <v>46267</v>
      </c>
      <c r="D9" s="10" t="str">
        <f t="shared" ca="1" si="1"/>
        <v>WeekDays</v>
      </c>
    </row>
    <row r="10" spans="3:5" x14ac:dyDescent="0.35">
      <c r="C10" s="21">
        <f t="shared" ca="1" si="0"/>
        <v>46156</v>
      </c>
      <c r="D10" s="10" t="str">
        <f t="shared" ca="1" si="1"/>
        <v>WeekDays</v>
      </c>
    </row>
    <row r="11" spans="3:5" x14ac:dyDescent="0.35">
      <c r="C11" s="21">
        <f t="shared" ca="1" si="0"/>
        <v>46175</v>
      </c>
      <c r="D11" s="10" t="str">
        <f t="shared" ca="1" si="1"/>
        <v>WeekDays</v>
      </c>
    </row>
    <row r="12" spans="3:5" x14ac:dyDescent="0.35">
      <c r="C12" s="21">
        <f t="shared" ca="1" si="0"/>
        <v>46196</v>
      </c>
      <c r="D12" s="10" t="str">
        <f t="shared" ca="1" si="1"/>
        <v>WeekDays</v>
      </c>
    </row>
    <row r="13" spans="3:5" x14ac:dyDescent="0.35">
      <c r="C13" s="21">
        <f t="shared" ca="1" si="0"/>
        <v>46172</v>
      </c>
      <c r="D13" s="10" t="str">
        <f t="shared" ca="1" si="1"/>
        <v>WeekEnd</v>
      </c>
    </row>
    <row r="14" spans="3:5" x14ac:dyDescent="0.35">
      <c r="C14" s="21">
        <f t="shared" ca="1" si="0"/>
        <v>46248</v>
      </c>
      <c r="D14" s="10" t="str">
        <f t="shared" ca="1" si="1"/>
        <v>WeekDays</v>
      </c>
    </row>
    <row r="15" spans="3:5" x14ac:dyDescent="0.35">
      <c r="C15" s="21">
        <f t="shared" ca="1" si="0"/>
        <v>46119</v>
      </c>
      <c r="D15" s="10" t="str">
        <f t="shared" ca="1" si="1"/>
        <v>WeekDays</v>
      </c>
    </row>
    <row r="16" spans="3:5" x14ac:dyDescent="0.35">
      <c r="C16" s="21">
        <f t="shared" ca="1" si="0"/>
        <v>46219</v>
      </c>
      <c r="D16" s="10" t="str">
        <f t="shared" ca="1" si="1"/>
        <v>WeekDays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9352-7612-450C-9D52-232A8AF7ACF5}">
  <dimension ref="A1:L20"/>
  <sheetViews>
    <sheetView tabSelected="1" topLeftCell="A3" workbookViewId="0">
      <selection activeCell="H15" sqref="H15"/>
    </sheetView>
  </sheetViews>
  <sheetFormatPr defaultRowHeight="20.399999999999999" x14ac:dyDescent="0.35"/>
  <sheetData>
    <row r="1" spans="1:12" x14ac:dyDescent="0.35">
      <c r="A1" s="30" t="s">
        <v>47</v>
      </c>
      <c r="B1" s="30" t="s">
        <v>48</v>
      </c>
      <c r="C1" s="30" t="s">
        <v>49</v>
      </c>
      <c r="D1" s="32" t="s">
        <v>50</v>
      </c>
      <c r="E1" s="29"/>
      <c r="F1" s="29"/>
      <c r="G1" s="29"/>
      <c r="H1" s="29"/>
      <c r="I1" s="29"/>
      <c r="J1" s="29"/>
      <c r="K1" s="29"/>
      <c r="L1" s="29"/>
    </row>
    <row r="2" spans="1:12" x14ac:dyDescent="0.35">
      <c r="A2" s="30" t="s">
        <v>51</v>
      </c>
      <c r="B2" s="30" t="s">
        <v>52</v>
      </c>
      <c r="C2" s="32">
        <v>24860</v>
      </c>
      <c r="D2" s="30" t="s">
        <v>53</v>
      </c>
      <c r="E2" s="29"/>
      <c r="F2" s="29" t="s">
        <v>80</v>
      </c>
      <c r="G2" s="29" t="s">
        <v>78</v>
      </c>
      <c r="H2" s="29" t="s">
        <v>79</v>
      </c>
      <c r="L2" s="29"/>
    </row>
    <row r="3" spans="1:12" x14ac:dyDescent="0.35">
      <c r="A3" s="30" t="s">
        <v>56</v>
      </c>
      <c r="B3" s="30" t="s">
        <v>57</v>
      </c>
      <c r="C3" s="32">
        <v>21006</v>
      </c>
      <c r="D3" s="30" t="s">
        <v>58</v>
      </c>
      <c r="E3" s="29"/>
      <c r="F3" s="29"/>
    </row>
    <row r="4" spans="1:12" x14ac:dyDescent="0.35">
      <c r="A4" s="30" t="s">
        <v>60</v>
      </c>
      <c r="B4" s="30" t="s">
        <v>57</v>
      </c>
      <c r="C4" s="32">
        <v>36750</v>
      </c>
      <c r="D4" s="30" t="s">
        <v>61</v>
      </c>
      <c r="E4" s="29"/>
      <c r="F4" s="29"/>
      <c r="G4" s="30" t="s">
        <v>54</v>
      </c>
      <c r="H4" s="30" t="s">
        <v>55</v>
      </c>
      <c r="I4" s="29"/>
      <c r="J4" s="29"/>
    </row>
    <row r="5" spans="1:12" x14ac:dyDescent="0.35">
      <c r="A5" s="30" t="s">
        <v>62</v>
      </c>
      <c r="B5" s="30" t="s">
        <v>63</v>
      </c>
      <c r="C5" s="32">
        <v>41257</v>
      </c>
      <c r="D5" s="30" t="s">
        <v>64</v>
      </c>
      <c r="E5" s="29"/>
      <c r="F5" s="29"/>
      <c r="G5" s="30" t="s">
        <v>74</v>
      </c>
      <c r="H5" s="30">
        <f>_xlfn.MINIFS(C3:C20,A3:A20,"Mumbai")</f>
        <v>19019</v>
      </c>
      <c r="I5" s="29"/>
      <c r="J5" s="29" t="s">
        <v>259</v>
      </c>
    </row>
    <row r="6" spans="1:12" x14ac:dyDescent="0.35">
      <c r="A6" s="30" t="s">
        <v>56</v>
      </c>
      <c r="B6" s="30" t="s">
        <v>57</v>
      </c>
      <c r="C6" s="32">
        <v>24158</v>
      </c>
      <c r="D6" s="30" t="s">
        <v>53</v>
      </c>
      <c r="E6" s="29"/>
      <c r="G6" s="30" t="s">
        <v>76</v>
      </c>
      <c r="H6" s="30">
        <f>_xlfn.MAXIFS(C3:C20,A3:A20,"Mumbai")</f>
        <v>48148</v>
      </c>
      <c r="I6" s="29"/>
      <c r="J6" s="29" t="s">
        <v>260</v>
      </c>
      <c r="K6" s="29"/>
    </row>
    <row r="7" spans="1:12" x14ac:dyDescent="0.35">
      <c r="A7" s="30" t="s">
        <v>66</v>
      </c>
      <c r="B7" s="30" t="s">
        <v>67</v>
      </c>
      <c r="C7" s="32">
        <v>39892</v>
      </c>
      <c r="D7" s="30" t="s">
        <v>58</v>
      </c>
      <c r="E7" s="29"/>
    </row>
    <row r="8" spans="1:12" x14ac:dyDescent="0.35">
      <c r="A8" s="30" t="s">
        <v>68</v>
      </c>
      <c r="B8" s="30" t="s">
        <v>67</v>
      </c>
      <c r="C8" s="32">
        <v>50622</v>
      </c>
      <c r="D8" s="30" t="s">
        <v>61</v>
      </c>
      <c r="E8" s="29"/>
      <c r="L8" s="29"/>
    </row>
    <row r="9" spans="1:12" x14ac:dyDescent="0.35">
      <c r="A9" s="30" t="s">
        <v>68</v>
      </c>
      <c r="B9" s="30" t="s">
        <v>67</v>
      </c>
      <c r="C9" s="32">
        <v>16206</v>
      </c>
      <c r="D9" s="30" t="s">
        <v>64</v>
      </c>
      <c r="E9" s="29"/>
      <c r="F9" s="29"/>
      <c r="K9" s="29"/>
      <c r="L9" s="29"/>
    </row>
    <row r="10" spans="1:12" x14ac:dyDescent="0.35">
      <c r="A10" s="30" t="s">
        <v>51</v>
      </c>
      <c r="B10" s="30" t="s">
        <v>52</v>
      </c>
      <c r="C10" s="32">
        <v>48148</v>
      </c>
      <c r="D10" s="30" t="s">
        <v>53</v>
      </c>
      <c r="E10" s="29"/>
      <c r="F10" s="29"/>
      <c r="G10" s="29"/>
      <c r="H10" s="29"/>
      <c r="I10" s="29"/>
      <c r="J10" s="29"/>
      <c r="K10" s="29"/>
      <c r="L10" s="29"/>
    </row>
    <row r="11" spans="1:12" x14ac:dyDescent="0.35">
      <c r="A11" s="30" t="s">
        <v>69</v>
      </c>
      <c r="B11" s="30" t="s">
        <v>63</v>
      </c>
      <c r="C11" s="32">
        <v>15692</v>
      </c>
      <c r="D11" s="30" t="s">
        <v>58</v>
      </c>
      <c r="E11" s="29"/>
      <c r="G11" s="29"/>
      <c r="H11" s="29"/>
      <c r="I11" s="29"/>
      <c r="J11" s="29"/>
      <c r="K11" s="29"/>
      <c r="L11" s="29"/>
    </row>
    <row r="12" spans="1:12" x14ac:dyDescent="0.35">
      <c r="A12" s="30" t="s">
        <v>69</v>
      </c>
      <c r="B12" s="30" t="s">
        <v>63</v>
      </c>
      <c r="C12" s="32">
        <v>34673</v>
      </c>
      <c r="D12" s="30" t="s">
        <v>61</v>
      </c>
      <c r="E12" s="29"/>
      <c r="G12" s="30" t="s">
        <v>54</v>
      </c>
      <c r="H12" s="30" t="s">
        <v>55</v>
      </c>
      <c r="I12" s="29"/>
      <c r="J12" s="29"/>
      <c r="K12" s="29"/>
      <c r="L12" s="29"/>
    </row>
    <row r="13" spans="1:12" x14ac:dyDescent="0.35">
      <c r="A13" s="30" t="s">
        <v>71</v>
      </c>
      <c r="B13" s="30" t="s">
        <v>63</v>
      </c>
      <c r="C13" s="32">
        <v>49765</v>
      </c>
      <c r="D13" s="30" t="s">
        <v>64</v>
      </c>
      <c r="E13" s="29"/>
      <c r="G13" s="30" t="s">
        <v>263</v>
      </c>
      <c r="H13" s="30">
        <f>_xlfn.MINIFS(C1:C20,A1:A20,"Mumbai",D1:D20,"Training")</f>
        <v>24860</v>
      </c>
      <c r="I13" s="29"/>
      <c r="J13" s="29" t="s">
        <v>261</v>
      </c>
      <c r="K13" s="29"/>
      <c r="L13" s="29"/>
    </row>
    <row r="14" spans="1:12" x14ac:dyDescent="0.35">
      <c r="A14" s="30" t="s">
        <v>72</v>
      </c>
      <c r="B14" s="30" t="s">
        <v>63</v>
      </c>
      <c r="C14" s="32">
        <v>46794</v>
      </c>
      <c r="D14" s="30" t="s">
        <v>53</v>
      </c>
      <c r="E14" s="29"/>
      <c r="F14" s="29"/>
      <c r="G14" s="30" t="s">
        <v>264</v>
      </c>
      <c r="H14" s="30">
        <f>_xlfn.MAXIFS(C1:C20,A1:A20,"Mumbai",D1:D20,"Training")</f>
        <v>48148</v>
      </c>
      <c r="I14" s="29"/>
      <c r="J14" s="29" t="s">
        <v>262</v>
      </c>
      <c r="K14" s="29"/>
      <c r="L14" s="29"/>
    </row>
    <row r="15" spans="1:12" x14ac:dyDescent="0.35">
      <c r="A15" s="30" t="s">
        <v>71</v>
      </c>
      <c r="B15" s="30" t="s">
        <v>63</v>
      </c>
      <c r="C15" s="32">
        <v>33855</v>
      </c>
      <c r="D15" s="30" t="s">
        <v>58</v>
      </c>
      <c r="E15" s="29"/>
      <c r="F15" s="29"/>
      <c r="G15" s="29"/>
      <c r="H15" s="29"/>
      <c r="I15" s="29"/>
      <c r="J15" s="29"/>
      <c r="K15" s="29"/>
      <c r="L15" s="29"/>
    </row>
    <row r="16" spans="1:12" x14ac:dyDescent="0.35">
      <c r="A16" s="30" t="s">
        <v>56</v>
      </c>
      <c r="B16" s="30" t="s">
        <v>57</v>
      </c>
      <c r="C16" s="32">
        <v>19786</v>
      </c>
      <c r="D16" s="30" t="s">
        <v>61</v>
      </c>
      <c r="E16" s="29"/>
      <c r="F16" s="29"/>
      <c r="G16" s="29"/>
      <c r="H16" s="29"/>
      <c r="I16" s="29"/>
      <c r="J16" s="29"/>
      <c r="K16" s="29"/>
      <c r="L16" s="29"/>
    </row>
    <row r="17" spans="1:12" x14ac:dyDescent="0.35">
      <c r="A17" s="30" t="s">
        <v>71</v>
      </c>
      <c r="B17" s="30" t="s">
        <v>63</v>
      </c>
      <c r="C17" s="32">
        <v>38416</v>
      </c>
      <c r="D17" s="30" t="s">
        <v>64</v>
      </c>
      <c r="E17" s="29"/>
      <c r="F17" s="29"/>
      <c r="G17" s="29"/>
      <c r="H17" s="29"/>
      <c r="I17" s="29"/>
      <c r="J17" s="29"/>
      <c r="K17" s="29"/>
      <c r="L17" s="29"/>
    </row>
    <row r="18" spans="1:12" x14ac:dyDescent="0.35">
      <c r="A18" s="30" t="s">
        <v>51</v>
      </c>
      <c r="B18" s="30" t="s">
        <v>52</v>
      </c>
      <c r="C18" s="32">
        <v>39770</v>
      </c>
      <c r="D18" s="30" t="s">
        <v>75</v>
      </c>
      <c r="E18" s="29"/>
      <c r="F18" s="29"/>
      <c r="G18" s="29"/>
      <c r="H18" s="29"/>
      <c r="I18" s="29"/>
      <c r="J18" s="29"/>
      <c r="K18" s="29"/>
      <c r="L18" s="29"/>
    </row>
    <row r="19" spans="1:12" x14ac:dyDescent="0.35">
      <c r="A19" s="30" t="s">
        <v>51</v>
      </c>
      <c r="B19" s="30" t="s">
        <v>52</v>
      </c>
      <c r="C19" s="32">
        <v>19019</v>
      </c>
      <c r="D19" s="30" t="s">
        <v>64</v>
      </c>
      <c r="E19" s="29"/>
      <c r="F19" s="29"/>
      <c r="G19" s="29"/>
      <c r="H19" s="29"/>
      <c r="I19" s="29"/>
      <c r="J19" s="29"/>
      <c r="K19" s="29"/>
      <c r="L19" s="29"/>
    </row>
    <row r="20" spans="1:12" x14ac:dyDescent="0.35">
      <c r="A20" s="30" t="s">
        <v>77</v>
      </c>
      <c r="B20" s="30" t="s">
        <v>52</v>
      </c>
      <c r="C20" s="32">
        <v>40300</v>
      </c>
      <c r="D20" s="30" t="s">
        <v>75</v>
      </c>
      <c r="E20" s="29"/>
      <c r="F20" s="29"/>
      <c r="G20" s="29"/>
      <c r="H20" s="29"/>
      <c r="I20" s="29"/>
      <c r="J20" s="29"/>
      <c r="K20" s="29"/>
      <c r="L20" s="29"/>
    </row>
  </sheetData>
  <dataValidations disablePrompts="1" count="1">
    <dataValidation type="custom" operator="greaterThanOrEqual" allowBlank="1" showInputMessage="1" showErrorMessage="1" sqref="C2:C20" xr:uid="{7C1B8877-B0D8-4EEE-88DD-8F2E119DCB42}">
      <formula1>ISNUMBER(C2)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</vt:i4>
      </vt:variant>
    </vt:vector>
  </HeadingPairs>
  <TitlesOfParts>
    <vt:vector size="24" baseType="lpstr">
      <vt:lpstr>Demo</vt:lpstr>
      <vt:lpstr>Absolute &amp; Reference</vt:lpstr>
      <vt:lpstr>Mixed reference</vt:lpstr>
      <vt:lpstr>Basic aggregate</vt:lpstr>
      <vt:lpstr>Basic Arithmetic</vt:lpstr>
      <vt:lpstr>Arithmetic Task</vt:lpstr>
      <vt:lpstr>Countifs &amp; Sumifs with Freeze</vt:lpstr>
      <vt:lpstr>Sumifs, Counifs,averageifs etc</vt:lpstr>
      <vt:lpstr>Rank</vt:lpstr>
      <vt:lpstr>Round</vt:lpstr>
      <vt:lpstr>Basic if,Nested if,ifs</vt:lpstr>
      <vt:lpstr>IF- or - and</vt:lpstr>
      <vt:lpstr>logical Task</vt:lpstr>
      <vt:lpstr>Basic Date functions</vt:lpstr>
      <vt:lpstr>Definitions</vt:lpstr>
      <vt:lpstr>Advance Date functions</vt:lpstr>
      <vt:lpstr>Task</vt:lpstr>
      <vt:lpstr>Minif and Maxif &amp; ifs</vt:lpstr>
      <vt:lpstr>Aug_HD</vt:lpstr>
      <vt:lpstr>City</vt:lpstr>
      <vt:lpstr>Department</vt:lpstr>
      <vt:lpstr>Jan_HD</vt:lpstr>
      <vt:lpstr>Region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 MOHAMMED</dc:creator>
  <cp:lastModifiedBy>Sagar Gowda</cp:lastModifiedBy>
  <dcterms:created xsi:type="dcterms:W3CDTF">2024-05-06T18:33:37Z</dcterms:created>
  <dcterms:modified xsi:type="dcterms:W3CDTF">2026-10-04T12:57:41Z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2024-05-06T18:46:28Z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11528b95-41de-4af4-9429-a2dae4c3f54c</vt:lpwstr>
  </property>
  <property fmtid="{D5CDD505-2E9C-101B-9397-08002B2CF9AE}" pid="8" name="MSIP_Label_defa4170-0d19-0005-0004-bc88714345d2_ContentBits">
    <vt:lpwstr>0</vt:lpwstr>
  </property>
</Properties>
</file>