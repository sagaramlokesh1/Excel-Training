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\self excel\"/>
    </mc:Choice>
  </mc:AlternateContent>
  <xr:revisionPtr revIDLastSave="0" documentId="13_ncr:1_{1A9F34EB-B0C7-4E96-A1BF-0FDB8952AA98}" xr6:coauthVersionLast="47" xr6:coauthVersionMax="47" xr10:uidLastSave="{00000000-0000-0000-0000-000000000000}"/>
  <bookViews>
    <workbookView xWindow="-108" yWindow="-108" windowWidth="23256" windowHeight="12456" firstSheet="2" activeTab="7" xr2:uid="{C5A09F69-38F6-42D2-813E-F17781EB2CF2}"/>
  </bookViews>
  <sheets>
    <sheet name="Sheet1" sheetId="1" state="hidden" r:id="rId1"/>
    <sheet name="Lookup Functions" sheetId="5" r:id="rId2"/>
    <sheet name="VLookup" sheetId="7" r:id="rId3"/>
    <sheet name="HLookup" sheetId="8" r:id="rId4"/>
    <sheet name="Index-Match" sheetId="12" r:id="rId5"/>
    <sheet name="XLookup" sheetId="10" r:id="rId6"/>
    <sheet name="Vlookup+Match" sheetId="14" r:id="rId7"/>
    <sheet name="Nested Arith + Lookup" sheetId="15" r:id="rId8"/>
    <sheet name="Source (2)" sheetId="4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6" i="12" l="1"/>
  <c r="V27" i="12"/>
  <c r="V28" i="12"/>
  <c r="V29" i="12"/>
  <c r="V30" i="12"/>
  <c r="V25" i="12"/>
  <c r="U26" i="12"/>
  <c r="U27" i="12"/>
  <c r="U28" i="12"/>
  <c r="U29" i="12"/>
  <c r="U30" i="12"/>
  <c r="U25" i="12"/>
  <c r="K15" i="12"/>
  <c r="T26" i="12"/>
  <c r="T27" i="12"/>
  <c r="T28" i="12"/>
  <c r="T29" i="12"/>
  <c r="T30" i="12"/>
  <c r="T25" i="12"/>
  <c r="J15" i="12"/>
  <c r="S26" i="12"/>
  <c r="S27" i="12"/>
  <c r="S28" i="12"/>
  <c r="S29" i="12"/>
  <c r="S30" i="12"/>
  <c r="S25" i="12"/>
  <c r="I15" i="12"/>
  <c r="A26" i="12" a="1"/>
  <c r="A26" i="12" s="1"/>
  <c r="A27" i="12" a="1"/>
  <c r="A27" i="12" s="1"/>
  <c r="A28" i="12" a="1"/>
  <c r="A28" i="12" s="1"/>
  <c r="A29" i="12" a="1"/>
  <c r="A29" i="12" s="1"/>
  <c r="A30" i="12" a="1"/>
  <c r="A30" i="12" s="1"/>
  <c r="A31" i="12" a="1"/>
  <c r="A31" i="12" s="1"/>
  <c r="A32" i="12" a="1"/>
  <c r="A32" i="12" s="1"/>
  <c r="A33" i="12" a="1"/>
  <c r="A33" i="12" s="1"/>
  <c r="A34" i="12" a="1"/>
  <c r="A34" i="12" s="1"/>
  <c r="A25" i="12" a="1"/>
  <c r="A25" i="12" s="1"/>
  <c r="F26" i="12" a="1"/>
  <c r="F26" i="12" s="1"/>
  <c r="F27" i="12" a="1"/>
  <c r="F27" i="12" s="1"/>
  <c r="F28" i="12" a="1"/>
  <c r="F28" i="12" s="1"/>
  <c r="F29" i="12" a="1"/>
  <c r="F29" i="12" s="1"/>
  <c r="F30" i="12" a="1"/>
  <c r="F30" i="12" s="1"/>
  <c r="F31" i="12" a="1"/>
  <c r="F31" i="12" s="1"/>
  <c r="F32" i="12" a="1"/>
  <c r="F32" i="12" s="1"/>
  <c r="F33" i="12" a="1"/>
  <c r="F33" i="12" s="1"/>
  <c r="F34" i="12" a="1"/>
  <c r="F34" i="12" s="1"/>
  <c r="F25" i="12" a="1"/>
  <c r="F25" i="12" s="1"/>
  <c r="E26" i="12" a="1"/>
  <c r="E26" i="12" s="1"/>
  <c r="E27" i="12" a="1"/>
  <c r="E27" i="12" s="1"/>
  <c r="E28" i="12" a="1"/>
  <c r="E28" i="12" s="1"/>
  <c r="E29" i="12" a="1"/>
  <c r="E29" i="12" s="1"/>
  <c r="E30" i="12" a="1"/>
  <c r="E30" i="12" s="1"/>
  <c r="E31" i="12" a="1"/>
  <c r="E31" i="12" s="1"/>
  <c r="E32" i="12" a="1"/>
  <c r="E32" i="12" s="1"/>
  <c r="E33" i="12" a="1"/>
  <c r="E33" i="12" s="1"/>
  <c r="E34" i="12" a="1"/>
  <c r="E34" i="12" s="1"/>
  <c r="E25" i="12" a="1"/>
  <c r="E25" i="12" s="1"/>
  <c r="D26" i="12" a="1"/>
  <c r="D26" i="12" s="1"/>
  <c r="D27" i="12" a="1"/>
  <c r="D27" i="12" s="1"/>
  <c r="D28" i="12" a="1"/>
  <c r="D28" i="12" s="1"/>
  <c r="D29" i="12" a="1"/>
  <c r="D29" i="12" s="1"/>
  <c r="D30" i="12" a="1"/>
  <c r="D30" i="12" s="1"/>
  <c r="D31" i="12" a="1"/>
  <c r="D31" i="12" s="1"/>
  <c r="D32" i="12" a="1"/>
  <c r="D32" i="12" s="1"/>
  <c r="D33" i="12" a="1"/>
  <c r="D33" i="12" s="1"/>
  <c r="D34" i="12" a="1"/>
  <c r="D34" i="12" s="1"/>
  <c r="D25" i="12" a="1"/>
  <c r="D25" i="12" s="1"/>
  <c r="C29" i="12" a="1"/>
  <c r="C29" i="12" s="1"/>
  <c r="B26" i="12" a="1"/>
  <c r="B26" i="12" s="1"/>
  <c r="B27" i="12" a="1"/>
  <c r="B27" i="12" s="1"/>
  <c r="B28" i="12" a="1"/>
  <c r="B28" i="12" s="1"/>
  <c r="B29" i="12" a="1"/>
  <c r="B29" i="12" s="1"/>
  <c r="B30" i="12" a="1"/>
  <c r="B30" i="12" s="1"/>
  <c r="B31" i="12" a="1"/>
  <c r="B31" i="12" s="1"/>
  <c r="B32" i="12" a="1"/>
  <c r="B32" i="12" s="1"/>
  <c r="B33" i="12" a="1"/>
  <c r="B33" i="12" s="1"/>
  <c r="B34" i="12" a="1"/>
  <c r="B34" i="12" s="1"/>
  <c r="B25" i="12" a="1"/>
  <c r="B25" i="12" s="1"/>
  <c r="N25" i="12"/>
  <c r="M25" i="12"/>
  <c r="L25" i="12"/>
  <c r="K25" i="12"/>
  <c r="I24" i="12"/>
  <c r="I25" i="12"/>
  <c r="I26" i="12"/>
  <c r="I27" i="12"/>
  <c r="I28" i="12"/>
  <c r="J16" i="12"/>
  <c r="J17" i="12"/>
  <c r="J18" i="12"/>
  <c r="J19" i="12"/>
  <c r="J20" i="12"/>
  <c r="L15" i="12"/>
  <c r="I16" i="12"/>
  <c r="K16" i="12"/>
  <c r="L16" i="12"/>
  <c r="I17" i="12"/>
  <c r="K17" i="12"/>
  <c r="L17" i="12"/>
  <c r="I18" i="12"/>
  <c r="K18" i="12"/>
  <c r="L18" i="12"/>
  <c r="I19" i="12"/>
  <c r="K19" i="12"/>
  <c r="L19" i="12"/>
  <c r="I20" i="12"/>
  <c r="K20" i="12"/>
  <c r="L20" i="12"/>
  <c r="L18" i="14"/>
  <c r="L19" i="14"/>
  <c r="L20" i="14"/>
  <c r="L21" i="14"/>
  <c r="L22" i="14"/>
  <c r="L17" i="14"/>
  <c r="K18" i="14"/>
  <c r="K19" i="14"/>
  <c r="K20" i="14"/>
  <c r="K21" i="14"/>
  <c r="K22" i="14"/>
  <c r="K17" i="14"/>
  <c r="J18" i="14"/>
  <c r="J19" i="14"/>
  <c r="J20" i="14"/>
  <c r="J21" i="14"/>
  <c r="J22" i="14"/>
  <c r="J17" i="14"/>
  <c r="I18" i="14"/>
  <c r="I19" i="14"/>
  <c r="I20" i="14"/>
  <c r="I21" i="14"/>
  <c r="I22" i="14"/>
  <c r="I17" i="14"/>
  <c r="J6" i="14"/>
  <c r="I5" i="14"/>
  <c r="J5" i="14"/>
  <c r="K5" i="14"/>
  <c r="L5" i="14"/>
  <c r="I6" i="14"/>
  <c r="K6" i="14"/>
  <c r="L6" i="14"/>
  <c r="I7" i="14"/>
  <c r="J7" i="14"/>
  <c r="K7" i="14"/>
  <c r="L7" i="14"/>
  <c r="I8" i="14"/>
  <c r="J8" i="14"/>
  <c r="K8" i="14"/>
  <c r="L8" i="14"/>
  <c r="I9" i="14"/>
  <c r="J9" i="14"/>
  <c r="K9" i="14"/>
  <c r="L9" i="14"/>
  <c r="I10" i="14"/>
  <c r="J10" i="14"/>
  <c r="K10" i="14"/>
  <c r="L10" i="14"/>
  <c r="J17" i="10"/>
  <c r="J18" i="10"/>
  <c r="J19" i="10"/>
  <c r="J20" i="10"/>
  <c r="J21" i="10"/>
  <c r="J16" i="10"/>
  <c r="L17" i="10"/>
  <c r="L18" i="10"/>
  <c r="L19" i="10"/>
  <c r="L20" i="10"/>
  <c r="L21" i="10"/>
  <c r="L16" i="10"/>
  <c r="K16" i="10"/>
  <c r="K17" i="10"/>
  <c r="K18" i="10"/>
  <c r="K19" i="10"/>
  <c r="K20" i="10"/>
  <c r="K21" i="10"/>
  <c r="I17" i="10"/>
  <c r="I18" i="10"/>
  <c r="I19" i="10"/>
  <c r="I20" i="10"/>
  <c r="I21" i="10"/>
  <c r="I16" i="10"/>
  <c r="L10" i="8"/>
  <c r="L11" i="8"/>
  <c r="L12" i="8"/>
  <c r="L13" i="8"/>
  <c r="L14" i="8"/>
  <c r="L9" i="8"/>
  <c r="K10" i="8"/>
  <c r="K11" i="8"/>
  <c r="K12" i="8"/>
  <c r="K13" i="8"/>
  <c r="K14" i="8"/>
  <c r="K9" i="8"/>
  <c r="J10" i="8"/>
  <c r="J11" i="8"/>
  <c r="J12" i="8"/>
  <c r="J13" i="8"/>
  <c r="J14" i="8"/>
  <c r="J9" i="8"/>
  <c r="I10" i="8"/>
  <c r="I11" i="8"/>
  <c r="I12" i="8"/>
  <c r="I13" i="8"/>
  <c r="I14" i="8"/>
  <c r="I9" i="8"/>
  <c r="L38" i="7"/>
  <c r="L39" i="7"/>
  <c r="L40" i="7"/>
  <c r="L41" i="7"/>
  <c r="L42" i="7"/>
  <c r="L37" i="7"/>
  <c r="K38" i="7"/>
  <c r="K39" i="7"/>
  <c r="K40" i="7"/>
  <c r="K41" i="7"/>
  <c r="K42" i="7"/>
  <c r="K37" i="7"/>
  <c r="J37" i="7"/>
  <c r="J38" i="7"/>
  <c r="J39" i="7"/>
  <c r="J40" i="7"/>
  <c r="J41" i="7"/>
  <c r="J42" i="7"/>
  <c r="I38" i="7"/>
  <c r="I39" i="7"/>
  <c r="I40" i="7"/>
  <c r="I41" i="7"/>
  <c r="I42" i="7"/>
  <c r="I37" i="7"/>
  <c r="L24" i="7"/>
  <c r="L16" i="7"/>
  <c r="L17" i="7"/>
  <c r="L18" i="7"/>
  <c r="L19" i="7"/>
  <c r="L20" i="7"/>
  <c r="L15" i="7"/>
  <c r="K16" i="7"/>
  <c r="K17" i="7"/>
  <c r="K18" i="7"/>
  <c r="K19" i="7"/>
  <c r="K20" i="7"/>
  <c r="K15" i="7"/>
  <c r="J16" i="7"/>
  <c r="J17" i="7"/>
  <c r="J18" i="7"/>
  <c r="J19" i="7"/>
  <c r="J20" i="7"/>
  <c r="J15" i="7"/>
  <c r="I16" i="7"/>
  <c r="I17" i="7"/>
  <c r="I18" i="7"/>
  <c r="I19" i="7"/>
  <c r="I20" i="7"/>
  <c r="I15" i="7"/>
  <c r="N23" i="15"/>
  <c r="N22" i="15"/>
  <c r="K23" i="15"/>
  <c r="K22" i="15"/>
  <c r="H24" i="10"/>
  <c r="I29" i="12" l="1"/>
  <c r="M25" i="7"/>
  <c r="M26" i="7"/>
  <c r="M27" i="7"/>
  <c r="M28" i="7"/>
  <c r="M24" i="7"/>
  <c r="L25" i="7"/>
  <c r="L26" i="7"/>
  <c r="L27" i="7"/>
  <c r="L28" i="7"/>
  <c r="K27" i="12" l="1"/>
  <c r="L19" i="15"/>
  <c r="L18" i="15"/>
  <c r="J16" i="15"/>
  <c r="J13" i="15"/>
  <c r="L17" i="5"/>
  <c r="L18" i="5"/>
  <c r="L19" i="5"/>
  <c r="L20" i="5"/>
  <c r="L21" i="5"/>
  <c r="L22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J17" i="5"/>
  <c r="K17" i="5"/>
  <c r="I17" i="5"/>
  <c r="I14" i="5"/>
  <c r="L16" i="15"/>
  <c r="I23" i="10"/>
  <c r="I16" i="8"/>
  <c r="I22" i="12"/>
  <c r="I31" i="7"/>
  <c r="I12" i="14"/>
  <c r="J14" i="5"/>
  <c r="I31" i="12"/>
  <c r="L13" i="15"/>
  <c r="C24" i="5" l="1" a="1"/>
  <c r="C24" i="5" s="1"/>
  <c r="C20" i="15"/>
  <c r="C19" i="15"/>
  <c r="C18" i="15"/>
  <c r="C17" i="15"/>
  <c r="C16" i="15"/>
  <c r="C15" i="15"/>
  <c r="C14" i="15"/>
  <c r="C13" i="15"/>
  <c r="C12" i="15"/>
  <c r="C11" i="15"/>
  <c r="C9" i="15"/>
  <c r="C8" i="15"/>
  <c r="C7" i="15"/>
  <c r="C6" i="15"/>
  <c r="C5" i="15"/>
  <c r="C4" i="15"/>
  <c r="C3" i="15"/>
  <c r="C2" i="15"/>
  <c r="I30" i="7"/>
  <c r="J25" i="5"/>
  <c r="I27" i="5"/>
  <c r="J30" i="7"/>
  <c r="I25" i="5"/>
  <c r="C20" i="14" l="1"/>
  <c r="C19" i="14"/>
  <c r="C18" i="14"/>
  <c r="C17" i="14"/>
  <c r="C16" i="14"/>
  <c r="C15" i="14"/>
  <c r="C14" i="14"/>
  <c r="C13" i="14"/>
  <c r="C12" i="14"/>
  <c r="C11" i="14"/>
  <c r="C9" i="14"/>
  <c r="C8" i="14"/>
  <c r="C7" i="14"/>
  <c r="C6" i="14"/>
  <c r="C5" i="14"/>
  <c r="C4" i="14"/>
  <c r="C3" i="14"/>
  <c r="C2" i="14"/>
  <c r="C3" i="5"/>
  <c r="C10" i="5"/>
  <c r="C11" i="5"/>
  <c r="C12" i="5"/>
  <c r="C5" i="5"/>
  <c r="C9" i="5"/>
  <c r="C20" i="5"/>
  <c r="C2" i="5"/>
  <c r="C13" i="5"/>
  <c r="C15" i="5"/>
  <c r="C14" i="5"/>
  <c r="C8" i="5"/>
  <c r="C18" i="5"/>
  <c r="C4" i="5"/>
  <c r="C19" i="5"/>
  <c r="C16" i="5"/>
  <c r="C21" i="5"/>
  <c r="C17" i="5"/>
  <c r="C20" i="12" l="1"/>
  <c r="C34" i="12" s="1" a="1"/>
  <c r="C34" i="12" s="1"/>
  <c r="C19" i="12"/>
  <c r="C18" i="12"/>
  <c r="C33" i="12" s="1" a="1"/>
  <c r="C33" i="12" s="1"/>
  <c r="C17" i="12"/>
  <c r="C16" i="12"/>
  <c r="C32" i="12" s="1" a="1"/>
  <c r="C32" i="12" s="1"/>
  <c r="C15" i="12"/>
  <c r="C14" i="12"/>
  <c r="C31" i="12" s="1" a="1"/>
  <c r="C31" i="12" s="1"/>
  <c r="C13" i="12"/>
  <c r="C12" i="12"/>
  <c r="C30" i="12" s="1" a="1"/>
  <c r="C30" i="12" s="1"/>
  <c r="C11" i="12"/>
  <c r="C9" i="12"/>
  <c r="C8" i="12"/>
  <c r="C28" i="12" s="1" a="1"/>
  <c r="C28" i="12" s="1"/>
  <c r="C7" i="12"/>
  <c r="C6" i="12"/>
  <c r="C27" i="12" s="1" a="1"/>
  <c r="C27" i="12" s="1"/>
  <c r="C5" i="12"/>
  <c r="C4" i="12"/>
  <c r="C26" i="12" s="1" a="1"/>
  <c r="C26" i="12" s="1"/>
  <c r="C3" i="12"/>
  <c r="C2" i="12"/>
  <c r="C25" i="12" s="1" a="1"/>
  <c r="C25" i="12" s="1"/>
  <c r="C20" i="10"/>
  <c r="C19" i="10"/>
  <c r="C18" i="10"/>
  <c r="C17" i="10"/>
  <c r="C16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C3" i="7"/>
  <c r="C10" i="7"/>
  <c r="C11" i="7"/>
  <c r="C12" i="7"/>
  <c r="C5" i="7"/>
  <c r="C9" i="7"/>
  <c r="C20" i="7"/>
  <c r="C2" i="7"/>
  <c r="C13" i="7"/>
  <c r="C15" i="7"/>
  <c r="C14" i="7"/>
  <c r="C8" i="7"/>
  <c r="C18" i="7"/>
  <c r="C4" i="7"/>
  <c r="C19" i="7"/>
  <c r="C16" i="7"/>
  <c r="C21" i="7"/>
  <c r="C17" i="7"/>
  <c r="F13" i="1"/>
  <c r="F14" i="1"/>
  <c r="F15" i="1"/>
  <c r="F16" i="1"/>
  <c r="F12" i="1"/>
  <c r="F7" i="1"/>
  <c r="F8" i="1"/>
  <c r="F9" i="1"/>
  <c r="F10" i="1"/>
  <c r="F6" i="1"/>
  <c r="G9" i="1"/>
  <c r="G7" i="1"/>
  <c r="G6" i="1"/>
  <c r="G13" i="1"/>
  <c r="G14" i="1"/>
  <c r="G16" i="1"/>
  <c r="G12" i="1"/>
  <c r="G15" i="1"/>
  <c r="G8" i="1"/>
  <c r="G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<sst xmlns="http://schemas.openxmlformats.org/spreadsheetml/2006/main" count="752" uniqueCount="132">
  <si>
    <t>A</t>
  </si>
  <si>
    <t>B</t>
  </si>
  <si>
    <t>C</t>
  </si>
  <si>
    <t>D</t>
  </si>
  <si>
    <t>E</t>
  </si>
  <si>
    <t>F</t>
  </si>
  <si>
    <t>G</t>
  </si>
  <si>
    <t>H</t>
  </si>
  <si>
    <t>I</t>
  </si>
  <si>
    <t>Name</t>
  </si>
  <si>
    <t>Age</t>
  </si>
  <si>
    <t>R</t>
  </si>
  <si>
    <t>M</t>
  </si>
  <si>
    <t>4s</t>
  </si>
  <si>
    <t>6s</t>
  </si>
  <si>
    <t>SR</t>
  </si>
  <si>
    <t>Rohit Sharma (c)</t>
  </si>
  <si>
    <t>Virat Kohli </t>
  </si>
  <si>
    <t>Rishabh Pant †</t>
  </si>
  <si>
    <t>Suryakumar Yadav </t>
  </si>
  <si>
    <t>Axar Patel </t>
  </si>
  <si>
    <t>Shivam Dube </t>
  </si>
  <si>
    <t>Hardik Pandya </t>
  </si>
  <si>
    <t>Ravindra Jadeja </t>
  </si>
  <si>
    <t>BOWLING</t>
  </si>
  <si>
    <t>W</t>
  </si>
  <si>
    <t>ECON</t>
  </si>
  <si>
    <t>0s</t>
  </si>
  <si>
    <t>WD</t>
  </si>
  <si>
    <t>NB</t>
  </si>
  <si>
    <t>Marco Jansen</t>
  </si>
  <si>
    <t>Keshav Maharaj</t>
  </si>
  <si>
    <t>Kagiso Rabada</t>
  </si>
  <si>
    <t>Aiden Markram</t>
  </si>
  <si>
    <t>Anrich Nortje</t>
  </si>
  <si>
    <t>Tabraiz Shamsi</t>
  </si>
  <si>
    <t>Reeza Hendricks </t>
  </si>
  <si>
    <t>Quinton de Kock †</t>
  </si>
  <si>
    <t>Aiden Markram (c)</t>
  </si>
  <si>
    <t>Tristan Stubbs </t>
  </si>
  <si>
    <t>Heinrich Klaasen </t>
  </si>
  <si>
    <t>David Miller </t>
  </si>
  <si>
    <t>Marco Jansen </t>
  </si>
  <si>
    <t>Keshav Maharaj </t>
  </si>
  <si>
    <t>Kagiso Rabada </t>
  </si>
  <si>
    <t>Anrich Nortje </t>
  </si>
  <si>
    <t>Role</t>
  </si>
  <si>
    <t>Batsman</t>
  </si>
  <si>
    <t>WicketKeeper</t>
  </si>
  <si>
    <t>All-Rounder</t>
  </si>
  <si>
    <t>Bowler</t>
  </si>
  <si>
    <t>Runs</t>
  </si>
  <si>
    <t>Balls</t>
  </si>
  <si>
    <t>Player Name</t>
  </si>
  <si>
    <t>Team</t>
  </si>
  <si>
    <t>India</t>
  </si>
  <si>
    <t>South Africa</t>
  </si>
  <si>
    <t>Player Code</t>
  </si>
  <si>
    <t>Extras</t>
  </si>
  <si>
    <t>VLOOKUP</t>
  </si>
  <si>
    <t>HLOOKUP</t>
  </si>
  <si>
    <t>XLOOKUP</t>
  </si>
  <si>
    <t>LOOKUP</t>
  </si>
  <si>
    <t>Virat Kohli</t>
  </si>
  <si>
    <t>Rohit Sharma</t>
  </si>
  <si>
    <t>Rishabh Pant</t>
  </si>
  <si>
    <t>Suryakumar Yadav</t>
  </si>
  <si>
    <t>Axar Patel</t>
  </si>
  <si>
    <t>Shivam Dube</t>
  </si>
  <si>
    <t>Hardik Pandya</t>
  </si>
  <si>
    <t>Ravindra Jadeja</t>
  </si>
  <si>
    <t>Reeza Hendricks</t>
  </si>
  <si>
    <t>Quinton de Kock</t>
  </si>
  <si>
    <t>Tristan Stubbs</t>
  </si>
  <si>
    <t>Heinrich Klaasen</t>
  </si>
  <si>
    <t>David Miller</t>
  </si>
  <si>
    <t>Errors</t>
  </si>
  <si>
    <t>Order</t>
  </si>
  <si>
    <t>AB</t>
  </si>
  <si>
    <t>BA</t>
  </si>
  <si>
    <t>CA</t>
  </si>
  <si>
    <t>DA</t>
  </si>
  <si>
    <t>EA</t>
  </si>
  <si>
    <t>FA</t>
  </si>
  <si>
    <t>GA</t>
  </si>
  <si>
    <t>HA</t>
  </si>
  <si>
    <t>IA</t>
  </si>
  <si>
    <t>X</t>
  </si>
  <si>
    <t>Y</t>
  </si>
  <si>
    <t>Z</t>
  </si>
  <si>
    <t>Cannot Look for Left values</t>
  </si>
  <si>
    <t>Sorting is Mandate</t>
  </si>
  <si>
    <t>Cannot Look for Top values</t>
  </si>
  <si>
    <t>AB De Villiers</t>
  </si>
  <si>
    <t>INDEX</t>
  </si>
  <si>
    <t>Only Vertical</t>
  </si>
  <si>
    <t>Only Horizontal</t>
  </si>
  <si>
    <t>MATCH</t>
  </si>
  <si>
    <t>INDEX-MATCH</t>
  </si>
  <si>
    <t>LOOKUP FUNCTIONS</t>
  </si>
  <si>
    <r>
      <t>LOOKUP</t>
    </r>
    <r>
      <rPr>
        <sz val="11"/>
        <color theme="1"/>
        <rFont val="Calibri"/>
        <family val="2"/>
        <scheme val="minor"/>
      </rPr>
      <t xml:space="preserve"> functions are one of the most widely used functions in Excel</t>
    </r>
    <r>
      <rPr>
        <b/>
        <sz val="11"/>
        <color theme="1"/>
        <rFont val="Calibri"/>
        <family val="2"/>
        <scheme val="minor"/>
      </rPr>
      <t xml:space="preserve">. LOOKUP lets you look up a value in a Row/Column, then returns information in another Row/Column if it finds a match. </t>
    </r>
  </si>
  <si>
    <t>Class</t>
  </si>
  <si>
    <t>Can't Drag</t>
  </si>
  <si>
    <t>VLOOKUP FUNCTION</t>
  </si>
  <si>
    <t>HLOOKUP FUNCTION</t>
  </si>
  <si>
    <t>VLOOKUP lets you look up a value in the top most column, then returns value in the same column from a row you specified</t>
  </si>
  <si>
    <t>XLOOKUP FUNCTION</t>
  </si>
  <si>
    <t>XLOOKUP searches an array for a match and returns the corresponding item from a second array</t>
  </si>
  <si>
    <t>limitations</t>
  </si>
  <si>
    <t>VLOOKUP lets you look up a value in the left most column of a table, then returns value in the same row from a column you specified</t>
  </si>
  <si>
    <r>
      <t>Returns a value or reference</t>
    </r>
    <r>
      <rPr>
        <sz val="11"/>
        <color theme="1"/>
        <rFont val="Calibri"/>
        <family val="2"/>
        <scheme val="minor"/>
      </rPr>
      <t xml:space="preserve"> of the cell at the intersection of particular row and column, in a given range</t>
    </r>
  </si>
  <si>
    <r>
      <t>Returns the relative position</t>
    </r>
    <r>
      <rPr>
        <sz val="11"/>
        <color theme="1"/>
        <rFont val="Calibri"/>
        <family val="2"/>
        <scheme val="minor"/>
      </rPr>
      <t xml:space="preserve"> of an item in an array that matches a specified value in a specified order</t>
    </r>
  </si>
  <si>
    <t>Who is the highest run-scorer among South African batsmen?</t>
  </si>
  <si>
    <t>Who is the least run-scorer among South African bowlers?</t>
  </si>
  <si>
    <t>Who is the player with the highest runs who is an Indian Batsman and return their Player Code.</t>
  </si>
  <si>
    <t>Who is the player with the lowest number of runs among players whose role is 'WicketKeeper'? Return their Player Code.</t>
  </si>
  <si>
    <t>Xlookup</t>
  </si>
  <si>
    <t>lookup</t>
  </si>
  <si>
    <t>index match</t>
  </si>
  <si>
    <t>sorting is mandatory</t>
  </si>
  <si>
    <r>
      <t>fill</t>
    </r>
    <r>
      <rPr>
        <sz val="10"/>
        <color theme="1"/>
        <rFont val="Calibri"/>
        <family val="2"/>
        <scheme val="minor"/>
      </rPr>
      <t>fill handle will not work</t>
    </r>
  </si>
  <si>
    <t xml:space="preserve">LOOKUP value should b in the first column </t>
  </si>
  <si>
    <t xml:space="preserve">cannot drag </t>
  </si>
  <si>
    <t xml:space="preserve">look-up </t>
  </si>
  <si>
    <t>vlookup</t>
  </si>
  <si>
    <t>XLOOKUP($H16,$B$2:$B$21,D$2:D$21,"Not Found",2)</t>
  </si>
  <si>
    <t>VLOOKUP($H7,$B$2:$F$21,MATCH(I$4,$B$1:$F$1,0),FALSE)</t>
  </si>
  <si>
    <t>INDEX($A$1:$F$21,MATCH($H17,$B$1:$B$21,0),MATCH(I$14,$A$1:$F$1,0))</t>
  </si>
  <si>
    <t>iNDEX($A$2:$F$21,(ROW(A1)*2)-1,COLUMN(B1))</t>
  </si>
  <si>
    <t>INDEX($A$2:$F$21,(ROW(A1)*2)-1,COLUMN(C1))</t>
  </si>
  <si>
    <t>INDEX($A$1:$F$21,MATCH($H15,$B$1:$B$21,0),MATCH(I$14,$A$1:$F$1,0))</t>
  </si>
  <si>
    <t>INDEX($A$1:$F$21,MATCH($H15,$B$1:$B$21,0),MATCH(J$14,$A$1:$F$1,0))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</si>
</sst>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Segoe U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DEBF7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1" xfId="1" applyFont="1" applyBorder="1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9" fillId="2" borderId="2" xfId="0" applyFont="1" applyFill="1" applyBorder="1" applyAlignment="1">
      <alignment horizontal="center"/>
    </xf>
    <xf numFmtId="0" fontId="0" fillId="0" borderId="0" xfId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1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2" fillId="5" borderId="0" xfId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954820</xdr:colOff>
      <xdr:row>45</xdr:row>
      <xdr:rowOff>139148</xdr:rowOff>
    </xdr:from>
    <xdr:to>
      <xdr:col>3</xdr:col>
      <xdr:colOff>1000539</xdr:colOff>
      <xdr:row>46</xdr:row>
      <xdr:rowOff>99392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70F6F5A-5666-0FFD-BE36-0F30DF330F97}"/>
            </a:ext>
          </a:extLst>
        </xdr:cNvPr>
        <xdr:cNvSpPr txBox="1"/>
      </xdr:nvSpPr>
      <xdr:spPr>
        <a:xfrm>
          <a:off x="3817290" y="8660296"/>
          <a:ext cx="45719" cy="1457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IN" sz="1800" b="1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218660</xdr:colOff>
      <xdr:row>33</xdr:row>
      <xdr:rowOff>185530</xdr:rowOff>
    </xdr:from>
    <xdr:to>
      <xdr:col>3</xdr:col>
      <xdr:colOff>483704</xdr:colOff>
      <xdr:row>35</xdr:row>
      <xdr:rowOff>132522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59E558F-6BBD-4C5F-8557-3481C148CFD8}"/>
            </a:ext>
          </a:extLst>
        </xdr:cNvPr>
        <xdr:cNvSpPr txBox="1"/>
      </xdr:nvSpPr>
      <xdr:spPr>
        <a:xfrm>
          <a:off x="3081130" y="6294782"/>
          <a:ext cx="265044" cy="3180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>
              <a:solidFill>
                <a:srgbClr val="00B050"/>
              </a:solidFill>
            </a:rPr>
            <a:t>4</a:t>
          </a:r>
        </a:p>
      </xdr:txBody>
    </xdr:sp>
    <xdr:clientData/>
  </xdr:twoCellAnchor>
  <xdr:twoCellAnchor>
    <xdr:from>
      <xdr:col>3</xdr:col>
      <xdr:colOff>556588</xdr:colOff>
      <xdr:row>46</xdr:row>
      <xdr:rowOff>20540</xdr:rowOff>
    </xdr:from>
    <xdr:to>
      <xdr:col>3</xdr:col>
      <xdr:colOff>993912</xdr:colOff>
      <xdr:row>46</xdr:row>
      <xdr:rowOff>66259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43749A8-1423-4C86-98DA-58F69A8D0D04}"/>
            </a:ext>
          </a:extLst>
        </xdr:cNvPr>
        <xdr:cNvSpPr txBox="1"/>
      </xdr:nvSpPr>
      <xdr:spPr>
        <a:xfrm rot="10800000" flipH="1">
          <a:off x="3419058" y="8727218"/>
          <a:ext cx="437324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IN" sz="1800" b="1">
            <a:solidFill>
              <a:srgbClr val="00B05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DF1553-00D2-4963-99CE-CDC42A50740C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spncricinfo.com/cricketers/kagiso-rabada-550215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https://www.espncricinfo.com/cricketers/keshav-maharaj-267724" TargetMode="External"/><Relationship Id="rId1" Type="http://schemas.openxmlformats.org/officeDocument/2006/relationships/hyperlink" Target="https://www.espncricinfo.com/cricketers/marco-jansen-696401" TargetMode="External"/><Relationship Id="rId6" Type="http://schemas.openxmlformats.org/officeDocument/2006/relationships/hyperlink" Target="https://www.espncricinfo.com/cricketers/tabraiz-shamsi-379145" TargetMode="External"/><Relationship Id="rId5" Type="http://schemas.openxmlformats.org/officeDocument/2006/relationships/hyperlink" Target="https://www.espncricinfo.com/cricketers/anrich-nortje-481979" TargetMode="External"/><Relationship Id="rId4" Type="http://schemas.openxmlformats.org/officeDocument/2006/relationships/hyperlink" Target="https://www.espncricinfo.com/cricketers/aiden-markram-6004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5D0A-3675-443B-973A-60E253251CD2}">
  <sheetPr codeName="Sheet1"/>
  <dimension ref="B3:K16"/>
  <sheetViews>
    <sheetView zoomScale="115" zoomScaleNormal="115" workbookViewId="0">
      <selection activeCell="J15" sqref="J15"/>
    </sheetView>
  </sheetViews>
  <sheetFormatPr defaultRowHeight="14.4" x14ac:dyDescent="0.3"/>
  <cols>
    <col min="5" max="5" width="12" bestFit="1" customWidth="1"/>
    <col min="7" max="7" width="42.109375" customWidth="1"/>
  </cols>
  <sheetData>
    <row r="3" spans="2:11" x14ac:dyDescent="0.3">
      <c r="B3" s="1" t="s">
        <v>9</v>
      </c>
      <c r="C3" s="1" t="s">
        <v>10</v>
      </c>
      <c r="I3" s="14" t="s">
        <v>87</v>
      </c>
      <c r="J3" s="14" t="s">
        <v>88</v>
      </c>
      <c r="K3" s="14" t="s">
        <v>89</v>
      </c>
    </row>
    <row r="4" spans="2:11" x14ac:dyDescent="0.3">
      <c r="B4" s="1" t="s">
        <v>0</v>
      </c>
      <c r="C4" s="1">
        <v>10</v>
      </c>
      <c r="I4" s="15" t="s">
        <v>0</v>
      </c>
      <c r="J4" s="15">
        <v>10</v>
      </c>
      <c r="K4" s="15" t="s">
        <v>78</v>
      </c>
    </row>
    <row r="5" spans="2:11" x14ac:dyDescent="0.3">
      <c r="B5" s="1" t="s">
        <v>1</v>
      </c>
      <c r="C5" s="1">
        <v>25</v>
      </c>
      <c r="I5" s="15" t="s">
        <v>1</v>
      </c>
      <c r="J5" s="15">
        <v>25</v>
      </c>
      <c r="K5" s="15" t="s">
        <v>79</v>
      </c>
    </row>
    <row r="6" spans="2:11" x14ac:dyDescent="0.3">
      <c r="B6" s="1" t="s">
        <v>2</v>
      </c>
      <c r="C6" s="1">
        <v>16</v>
      </c>
      <c r="E6" s="1" t="s">
        <v>0</v>
      </c>
      <c r="F6" s="1">
        <f>_xlfn.XLOOKUP(E6,$B$3:$B$12,$C$3:$C$12)</f>
        <v>10</v>
      </c>
      <c r="G6" t="str">
        <f ca="1">_xlfn.FORMULATEXT(F6)</f>
        <v>=XLOOKUP(E6,$B$3:$B$12,$C$3:$C$12)</v>
      </c>
      <c r="I6" s="15" t="s">
        <v>2</v>
      </c>
      <c r="J6" s="15">
        <v>16</v>
      </c>
      <c r="K6" s="15" t="s">
        <v>80</v>
      </c>
    </row>
    <row r="7" spans="2:11" x14ac:dyDescent="0.3">
      <c r="B7" s="1" t="s">
        <v>3</v>
      </c>
      <c r="C7" s="1">
        <v>15</v>
      </c>
      <c r="E7" s="1" t="s">
        <v>1</v>
      </c>
      <c r="F7" s="1">
        <f t="shared" ref="F7:F10" si="0">_xlfn.XLOOKUP(E7,$B$3:$B$12,$C$3:$C$12)</f>
        <v>25</v>
      </c>
      <c r="G7" t="str">
        <f t="shared" ref="G7:G16" ca="1" si="1">_xlfn.FORMULATEXT(F7)</f>
        <v>=XLOOKUP(E7,$B$3:$B$12,$C$3:$C$12)</v>
      </c>
      <c r="I7" s="15" t="s">
        <v>3</v>
      </c>
      <c r="J7" s="15">
        <v>15</v>
      </c>
      <c r="K7" s="15" t="s">
        <v>81</v>
      </c>
    </row>
    <row r="8" spans="2:11" x14ac:dyDescent="0.3">
      <c r="B8" s="1" t="s">
        <v>4</v>
      </c>
      <c r="C8" s="1">
        <v>14</v>
      </c>
      <c r="E8" s="1" t="s">
        <v>2</v>
      </c>
      <c r="F8" s="1">
        <f t="shared" si="0"/>
        <v>16</v>
      </c>
      <c r="G8" t="str">
        <f t="shared" ca="1" si="1"/>
        <v>=XLOOKUP(E8,$B$3:$B$12,$C$3:$C$12)</v>
      </c>
      <c r="I8" s="15" t="s">
        <v>4</v>
      </c>
      <c r="J8" s="15">
        <v>14</v>
      </c>
      <c r="K8" s="15" t="s">
        <v>82</v>
      </c>
    </row>
    <row r="9" spans="2:11" x14ac:dyDescent="0.3">
      <c r="B9" s="1" t="s">
        <v>5</v>
      </c>
      <c r="C9" s="1">
        <v>19</v>
      </c>
      <c r="E9" s="1" t="s">
        <v>3</v>
      </c>
      <c r="F9" s="1">
        <f t="shared" si="0"/>
        <v>15</v>
      </c>
      <c r="G9" t="str">
        <f t="shared" ca="1" si="1"/>
        <v>=XLOOKUP(E9,$B$3:$B$12,$C$3:$C$12)</v>
      </c>
      <c r="I9" s="15" t="s">
        <v>5</v>
      </c>
      <c r="J9" s="15">
        <v>19</v>
      </c>
      <c r="K9" s="15" t="s">
        <v>83</v>
      </c>
    </row>
    <row r="10" spans="2:11" x14ac:dyDescent="0.3">
      <c r="B10" s="1" t="s">
        <v>6</v>
      </c>
      <c r="C10" s="1">
        <v>20</v>
      </c>
      <c r="E10" s="1" t="s">
        <v>4</v>
      </c>
      <c r="F10" s="1">
        <f t="shared" si="0"/>
        <v>14</v>
      </c>
      <c r="G10" t="str">
        <f t="shared" ca="1" si="1"/>
        <v>=XLOOKUP(E10,$B$3:$B$12,$C$3:$C$12)</v>
      </c>
      <c r="I10" s="15" t="s">
        <v>6</v>
      </c>
      <c r="J10" s="15">
        <v>20</v>
      </c>
      <c r="K10" s="15" t="s">
        <v>84</v>
      </c>
    </row>
    <row r="11" spans="2:11" x14ac:dyDescent="0.3">
      <c r="B11" s="1" t="s">
        <v>7</v>
      </c>
      <c r="C11" s="1">
        <v>22</v>
      </c>
      <c r="I11" s="15" t="s">
        <v>7</v>
      </c>
      <c r="J11" s="15">
        <v>22</v>
      </c>
      <c r="K11" s="15" t="s">
        <v>85</v>
      </c>
    </row>
    <row r="12" spans="2:11" x14ac:dyDescent="0.3">
      <c r="B12" s="1" t="s">
        <v>8</v>
      </c>
      <c r="C12" s="1">
        <v>25</v>
      </c>
      <c r="E12" s="1" t="s">
        <v>0</v>
      </c>
      <c r="F12" s="1">
        <f>VLOOKUP(E12,$B$3:$C$12,2,FALSE)</f>
        <v>10</v>
      </c>
      <c r="G12" t="str">
        <f t="shared" ca="1" si="1"/>
        <v>=VLOOKUP(E12,$B$3:$C$12,2,FALSE)</v>
      </c>
      <c r="I12" s="15" t="s">
        <v>8</v>
      </c>
      <c r="J12" s="15">
        <v>25</v>
      </c>
      <c r="K12" s="15" t="s">
        <v>86</v>
      </c>
    </row>
    <row r="13" spans="2:11" x14ac:dyDescent="0.3">
      <c r="E13" s="1" t="s">
        <v>1</v>
      </c>
      <c r="F13" s="1">
        <f t="shared" ref="F13:F16" si="2">VLOOKUP(E13,$B$3:$C$12,2,FALSE)</f>
        <v>25</v>
      </c>
      <c r="G13" t="str">
        <f t="shared" ca="1" si="1"/>
        <v>=VLOOKUP(E13,$B$3:$C$12,2,FALSE)</v>
      </c>
    </row>
    <row r="14" spans="2:11" x14ac:dyDescent="0.3">
      <c r="E14" s="1" t="s">
        <v>2</v>
      </c>
      <c r="F14" s="1">
        <f t="shared" si="2"/>
        <v>16</v>
      </c>
      <c r="G14" t="str">
        <f t="shared" ca="1" si="1"/>
        <v>=VLOOKUP(E14,$B$3:$C$12,2,FALSE)</v>
      </c>
    </row>
    <row r="15" spans="2:11" x14ac:dyDescent="0.3">
      <c r="E15" s="1" t="s">
        <v>3</v>
      </c>
      <c r="F15" s="1">
        <f t="shared" si="2"/>
        <v>15</v>
      </c>
      <c r="G15" t="str">
        <f t="shared" ca="1" si="1"/>
        <v>=VLOOKUP(E15,$B$3:$C$12,2,FALSE)</v>
      </c>
    </row>
    <row r="16" spans="2:11" x14ac:dyDescent="0.3">
      <c r="E16" s="1" t="s">
        <v>4</v>
      </c>
      <c r="F16" s="1">
        <f t="shared" si="2"/>
        <v>14</v>
      </c>
      <c r="G16" t="str">
        <f t="shared" ca="1" si="1"/>
        <v>=VLOOKUP(E16,$B$3:$C$12,2,FALSE)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15B4-7A59-4937-A977-0EAF84817DC9}">
  <sheetPr codeName="Sheet4">
    <tabColor theme="8"/>
  </sheetPr>
  <dimension ref="A1:M29"/>
  <sheetViews>
    <sheetView zoomScale="115" zoomScaleNormal="115" workbookViewId="0">
      <selection activeCell="B2" sqref="B2:B21"/>
    </sheetView>
  </sheetViews>
  <sheetFormatPr defaultRowHeight="14.4" x14ac:dyDescent="0.3"/>
  <cols>
    <col min="1" max="1" width="8.88671875" style="1"/>
    <col min="2" max="2" width="16.44140625" bestFit="1" customWidth="1"/>
    <col min="3" max="3" width="16.44140625" customWidth="1"/>
    <col min="4" max="4" width="16.44140625" style="1" customWidth="1"/>
    <col min="5" max="5" width="14.44140625" style="1" customWidth="1"/>
    <col min="6" max="6" width="10.77734375" customWidth="1"/>
    <col min="8" max="8" width="20.109375" customWidth="1"/>
    <col min="9" max="9" width="33.109375" bestFit="1" customWidth="1"/>
    <col min="10" max="10" width="20.109375" customWidth="1"/>
    <col min="11" max="11" width="13.33203125" bestFit="1" customWidth="1"/>
    <col min="12" max="12" width="11.6640625" customWidth="1"/>
  </cols>
  <sheetData>
    <row r="1" spans="1:13" s="10" customFormat="1" ht="13.8" x14ac:dyDescent="0.3">
      <c r="A1" s="21" t="s">
        <v>77</v>
      </c>
      <c r="B1" s="21" t="s">
        <v>53</v>
      </c>
      <c r="C1" s="21" t="s">
        <v>57</v>
      </c>
      <c r="D1" s="21" t="s">
        <v>54</v>
      </c>
      <c r="E1" s="21" t="s">
        <v>46</v>
      </c>
      <c r="F1" s="21" t="s">
        <v>51</v>
      </c>
    </row>
    <row r="2" spans="1:13" x14ac:dyDescent="0.3">
      <c r="A2" s="17">
        <v>3</v>
      </c>
      <c r="B2" s="18" t="s">
        <v>33</v>
      </c>
      <c r="C2" s="17" t="str">
        <f>LEFT(B2,2) &amp; A2 &amp; LEFT(E2,2)</f>
        <v>Ai3Al</v>
      </c>
      <c r="D2" s="17" t="s">
        <v>56</v>
      </c>
      <c r="E2" s="19" t="s">
        <v>49</v>
      </c>
      <c r="F2" s="20">
        <v>4</v>
      </c>
      <c r="H2" s="43" t="s">
        <v>99</v>
      </c>
      <c r="I2" s="37" t="s">
        <v>100</v>
      </c>
      <c r="J2" s="37"/>
      <c r="K2" s="37"/>
      <c r="L2" s="37"/>
      <c r="M2" s="38"/>
    </row>
    <row r="3" spans="1:13" x14ac:dyDescent="0.3">
      <c r="A3" s="17">
        <v>10</v>
      </c>
      <c r="B3" s="18" t="s">
        <v>34</v>
      </c>
      <c r="C3" s="17" t="str">
        <f>LEFT(B3,2) &amp; A3 &amp; LEFT(E3,2)</f>
        <v>An10Bo</v>
      </c>
      <c r="D3" s="17" t="s">
        <v>56</v>
      </c>
      <c r="E3" s="19" t="s">
        <v>50</v>
      </c>
      <c r="F3" s="20">
        <v>1</v>
      </c>
      <c r="H3" s="44"/>
      <c r="I3" s="39"/>
      <c r="J3" s="39"/>
      <c r="K3" s="39"/>
      <c r="L3" s="39"/>
      <c r="M3" s="40"/>
    </row>
    <row r="4" spans="1:13" x14ac:dyDescent="0.3">
      <c r="A4" s="17">
        <v>5</v>
      </c>
      <c r="B4" s="18" t="s">
        <v>67</v>
      </c>
      <c r="C4" s="17" t="str">
        <f>LEFT(B4,2) &amp; A4 &amp; LEFT(E4,2)</f>
        <v>Ax5Al</v>
      </c>
      <c r="D4" s="17" t="s">
        <v>55</v>
      </c>
      <c r="E4" s="19" t="s">
        <v>49</v>
      </c>
      <c r="F4" s="20">
        <v>47</v>
      </c>
      <c r="H4" s="45"/>
      <c r="I4" s="41"/>
      <c r="J4" s="41"/>
      <c r="K4" s="41"/>
      <c r="L4" s="41"/>
      <c r="M4" s="42"/>
    </row>
    <row r="5" spans="1:13" x14ac:dyDescent="0.3">
      <c r="A5" s="17">
        <v>6</v>
      </c>
      <c r="B5" s="18" t="s">
        <v>75</v>
      </c>
      <c r="C5" s="17" t="str">
        <f>LEFT(B5,2) &amp; A5 &amp; LEFT(E5,2)</f>
        <v>Da6Ba</v>
      </c>
      <c r="D5" s="17" t="s">
        <v>56</v>
      </c>
      <c r="E5" s="19" t="s">
        <v>47</v>
      </c>
      <c r="F5" s="20">
        <v>21</v>
      </c>
    </row>
    <row r="6" spans="1:13" x14ac:dyDescent="0.3">
      <c r="A6" s="17">
        <v>9</v>
      </c>
      <c r="B6" s="18" t="s">
        <v>58</v>
      </c>
      <c r="C6" s="17"/>
      <c r="D6" s="17"/>
      <c r="E6" s="19"/>
      <c r="F6" s="20">
        <v>7</v>
      </c>
    </row>
    <row r="7" spans="1:13" x14ac:dyDescent="0.3">
      <c r="A7" s="17">
        <v>11</v>
      </c>
      <c r="B7" s="18" t="s">
        <v>58</v>
      </c>
      <c r="C7" s="17"/>
      <c r="D7" s="17"/>
      <c r="E7" s="19"/>
      <c r="F7" s="20">
        <v>9</v>
      </c>
      <c r="H7" s="23" t="s">
        <v>62</v>
      </c>
      <c r="I7" s="14" t="s">
        <v>59</v>
      </c>
      <c r="J7" s="14" t="s">
        <v>60</v>
      </c>
      <c r="K7" s="14" t="s">
        <v>98</v>
      </c>
      <c r="L7" s="14" t="s">
        <v>61</v>
      </c>
      <c r="M7" s="28" t="s">
        <v>108</v>
      </c>
    </row>
    <row r="8" spans="1:13" x14ac:dyDescent="0.3">
      <c r="A8" s="17">
        <v>7</v>
      </c>
      <c r="B8" s="18" t="s">
        <v>69</v>
      </c>
      <c r="C8" s="17" t="str">
        <f t="shared" ref="C8:C21" si="0">LEFT(B8,2) &amp; A8 &amp; LEFT(E8,2)</f>
        <v>Ha7Al</v>
      </c>
      <c r="D8" s="17" t="s">
        <v>55</v>
      </c>
      <c r="E8" s="19" t="s">
        <v>49</v>
      </c>
      <c r="F8" s="20">
        <v>5</v>
      </c>
      <c r="H8" t="s">
        <v>119</v>
      </c>
    </row>
    <row r="9" spans="1:13" x14ac:dyDescent="0.3">
      <c r="A9" s="17">
        <v>5</v>
      </c>
      <c r="B9" s="18" t="s">
        <v>74</v>
      </c>
      <c r="C9" s="17" t="str">
        <f t="shared" si="0"/>
        <v>He5Ba</v>
      </c>
      <c r="D9" s="17" t="s">
        <v>56</v>
      </c>
      <c r="E9" s="19" t="s">
        <v>47</v>
      </c>
      <c r="F9" s="20">
        <v>52</v>
      </c>
      <c r="H9" s="22" t="s">
        <v>120</v>
      </c>
    </row>
    <row r="10" spans="1:13" x14ac:dyDescent="0.3">
      <c r="A10" s="17">
        <v>9</v>
      </c>
      <c r="B10" s="18" t="s">
        <v>32</v>
      </c>
      <c r="C10" s="17" t="str">
        <f t="shared" si="0"/>
        <v>Ka9Bo</v>
      </c>
      <c r="D10" s="17" t="s">
        <v>56</v>
      </c>
      <c r="E10" s="19" t="s">
        <v>50</v>
      </c>
      <c r="F10" s="20">
        <v>4</v>
      </c>
    </row>
    <row r="11" spans="1:13" x14ac:dyDescent="0.3">
      <c r="A11" s="17">
        <v>8</v>
      </c>
      <c r="B11" s="18" t="s">
        <v>31</v>
      </c>
      <c r="C11" s="17" t="str">
        <f t="shared" si="0"/>
        <v>Ke8Bo</v>
      </c>
      <c r="D11" s="17" t="s">
        <v>56</v>
      </c>
      <c r="E11" s="19" t="s">
        <v>50</v>
      </c>
      <c r="F11" s="20">
        <v>2</v>
      </c>
    </row>
    <row r="12" spans="1:13" x14ac:dyDescent="0.3">
      <c r="A12" s="17">
        <v>7</v>
      </c>
      <c r="B12" s="18" t="s">
        <v>30</v>
      </c>
      <c r="C12" s="17" t="str">
        <f t="shared" si="0"/>
        <v>Ma7Al</v>
      </c>
      <c r="D12" s="17" t="s">
        <v>56</v>
      </c>
      <c r="E12" s="19" t="s">
        <v>49</v>
      </c>
      <c r="F12" s="20">
        <v>2</v>
      </c>
    </row>
    <row r="13" spans="1:13" x14ac:dyDescent="0.3">
      <c r="A13" s="17">
        <v>2</v>
      </c>
      <c r="B13" s="18" t="s">
        <v>72</v>
      </c>
      <c r="C13" s="17" t="str">
        <f t="shared" si="0"/>
        <v>Qu2Wi</v>
      </c>
      <c r="D13" s="17" t="s">
        <v>56</v>
      </c>
      <c r="E13" s="19" t="s">
        <v>48</v>
      </c>
      <c r="F13" s="20">
        <v>39</v>
      </c>
      <c r="H13" s="21" t="s">
        <v>53</v>
      </c>
      <c r="I13" s="21" t="s">
        <v>54</v>
      </c>
    </row>
    <row r="14" spans="1:13" x14ac:dyDescent="0.3">
      <c r="A14" s="17">
        <v>8</v>
      </c>
      <c r="B14" s="18" t="s">
        <v>70</v>
      </c>
      <c r="C14" s="17" t="str">
        <f t="shared" si="0"/>
        <v>Ra8Al</v>
      </c>
      <c r="D14" s="17" t="s">
        <v>55</v>
      </c>
      <c r="E14" s="19" t="s">
        <v>49</v>
      </c>
      <c r="F14" s="20">
        <v>2</v>
      </c>
      <c r="H14" s="21" t="s">
        <v>70</v>
      </c>
      <c r="I14" s="17" t="str">
        <f>LOOKUP(H14,B2:B21,D2:D21)</f>
        <v>India</v>
      </c>
      <c r="J14" t="str">
        <f ca="1">_xlfn.FORMULATEXT(I14)</f>
        <v>=LOOKUP(H14,B2:B21,D2:D21)</v>
      </c>
    </row>
    <row r="15" spans="1:13" x14ac:dyDescent="0.3">
      <c r="A15" s="17">
        <v>1</v>
      </c>
      <c r="B15" s="18" t="s">
        <v>71</v>
      </c>
      <c r="C15" s="17" t="str">
        <f t="shared" si="0"/>
        <v>Re1Ba</v>
      </c>
      <c r="D15" s="17" t="s">
        <v>56</v>
      </c>
      <c r="E15" s="19" t="s">
        <v>47</v>
      </c>
      <c r="F15" s="20">
        <v>4</v>
      </c>
    </row>
    <row r="16" spans="1:13" x14ac:dyDescent="0.3">
      <c r="A16" s="17">
        <v>3</v>
      </c>
      <c r="B16" s="18" t="s">
        <v>65</v>
      </c>
      <c r="C16" s="17" t="str">
        <f t="shared" si="0"/>
        <v>Ri3Wi</v>
      </c>
      <c r="D16" s="17" t="s">
        <v>55</v>
      </c>
      <c r="E16" s="19" t="s">
        <v>48</v>
      </c>
      <c r="F16" s="20">
        <v>0</v>
      </c>
      <c r="H16" s="21" t="s">
        <v>53</v>
      </c>
      <c r="I16" s="21" t="s">
        <v>54</v>
      </c>
      <c r="J16" s="21" t="s">
        <v>46</v>
      </c>
      <c r="K16" s="21" t="s">
        <v>51</v>
      </c>
      <c r="L16" s="21" t="s">
        <v>77</v>
      </c>
    </row>
    <row r="17" spans="1:12" x14ac:dyDescent="0.3">
      <c r="A17" s="17">
        <v>1</v>
      </c>
      <c r="B17" s="18" t="s">
        <v>64</v>
      </c>
      <c r="C17" s="17" t="str">
        <f t="shared" si="0"/>
        <v>Ro1Ba</v>
      </c>
      <c r="D17" s="17" t="s">
        <v>55</v>
      </c>
      <c r="E17" s="19" t="s">
        <v>47</v>
      </c>
      <c r="F17" s="20">
        <v>9</v>
      </c>
      <c r="H17" s="21" t="s">
        <v>70</v>
      </c>
      <c r="I17" s="17" t="str">
        <f>LOOKUP($H17,$B$2:$B$21,D$2:D$21)</f>
        <v>India</v>
      </c>
      <c r="J17" s="17" t="str">
        <f t="shared" ref="J17:K17" si="1">LOOKUP($H17,$B$2:$B$21,E$2:E$21)</f>
        <v>All-Rounder</v>
      </c>
      <c r="K17" s="17">
        <f t="shared" si="1"/>
        <v>2</v>
      </c>
      <c r="L17" s="17">
        <f>LOOKUP($H17,$B$2:$B$21,A$2:A$21)</f>
        <v>8</v>
      </c>
    </row>
    <row r="18" spans="1:12" x14ac:dyDescent="0.3">
      <c r="A18" s="17">
        <v>6</v>
      </c>
      <c r="B18" s="18" t="s">
        <v>68</v>
      </c>
      <c r="C18" s="17" t="str">
        <f t="shared" si="0"/>
        <v>Sh6Al</v>
      </c>
      <c r="D18" s="17" t="s">
        <v>55</v>
      </c>
      <c r="E18" s="19" t="s">
        <v>49</v>
      </c>
      <c r="F18" s="20">
        <v>27</v>
      </c>
      <c r="H18" s="21" t="s">
        <v>69</v>
      </c>
      <c r="I18" s="17" t="str">
        <f t="shared" ref="I18:I22" si="2">LOOKUP($H18,$B$2:$B$21,D$2:D$21)</f>
        <v>India</v>
      </c>
      <c r="J18" s="17" t="str">
        <f t="shared" ref="J18:J22" si="3">LOOKUP($H18,$B$2:$B$21,E$2:E$21)</f>
        <v>All-Rounder</v>
      </c>
      <c r="K18" s="17">
        <f t="shared" ref="K18:K22" si="4">LOOKUP($H18,$B$2:$B$21,F$2:F$21)</f>
        <v>5</v>
      </c>
      <c r="L18" s="17">
        <f t="shared" ref="L18:L22" si="5">LOOKUP($H18,$B$2:$B$21,A$2:A$21)</f>
        <v>7</v>
      </c>
    </row>
    <row r="19" spans="1:12" x14ac:dyDescent="0.3">
      <c r="A19" s="17">
        <v>4</v>
      </c>
      <c r="B19" s="18" t="s">
        <v>66</v>
      </c>
      <c r="C19" s="17" t="str">
        <f t="shared" si="0"/>
        <v>Su4Ba</v>
      </c>
      <c r="D19" s="17" t="s">
        <v>55</v>
      </c>
      <c r="E19" s="19" t="s">
        <v>47</v>
      </c>
      <c r="F19" s="20">
        <v>3</v>
      </c>
      <c r="H19" s="21" t="s">
        <v>67</v>
      </c>
      <c r="I19" s="17" t="str">
        <f t="shared" si="2"/>
        <v>India</v>
      </c>
      <c r="J19" s="17" t="str">
        <f t="shared" si="3"/>
        <v>All-Rounder</v>
      </c>
      <c r="K19" s="17">
        <f t="shared" si="4"/>
        <v>47</v>
      </c>
      <c r="L19" s="17">
        <f t="shared" si="5"/>
        <v>5</v>
      </c>
    </row>
    <row r="20" spans="1:12" x14ac:dyDescent="0.3">
      <c r="A20" s="17">
        <v>4</v>
      </c>
      <c r="B20" s="18" t="s">
        <v>73</v>
      </c>
      <c r="C20" s="17" t="str">
        <f t="shared" si="0"/>
        <v>Tr4Al</v>
      </c>
      <c r="D20" s="17" t="s">
        <v>56</v>
      </c>
      <c r="E20" s="19" t="s">
        <v>49</v>
      </c>
      <c r="F20" s="20">
        <v>31</v>
      </c>
      <c r="H20" s="21" t="s">
        <v>71</v>
      </c>
      <c r="I20" s="17" t="str">
        <f t="shared" si="2"/>
        <v>South Africa</v>
      </c>
      <c r="J20" s="17" t="str">
        <f t="shared" si="3"/>
        <v>Batsman</v>
      </c>
      <c r="K20" s="17">
        <f t="shared" si="4"/>
        <v>4</v>
      </c>
      <c r="L20" s="17">
        <f t="shared" si="5"/>
        <v>1</v>
      </c>
    </row>
    <row r="21" spans="1:12" x14ac:dyDescent="0.3">
      <c r="A21" s="17">
        <v>2</v>
      </c>
      <c r="B21" s="18" t="s">
        <v>63</v>
      </c>
      <c r="C21" s="17" t="str">
        <f t="shared" si="0"/>
        <v>Vi2Ba</v>
      </c>
      <c r="D21" s="17" t="s">
        <v>55</v>
      </c>
      <c r="E21" s="19" t="s">
        <v>47</v>
      </c>
      <c r="F21" s="20">
        <v>76</v>
      </c>
      <c r="H21" s="21" t="s">
        <v>75</v>
      </c>
      <c r="I21" s="17" t="str">
        <f t="shared" si="2"/>
        <v>South Africa</v>
      </c>
      <c r="J21" s="17" t="str">
        <f t="shared" si="3"/>
        <v>Batsman</v>
      </c>
      <c r="K21" s="17">
        <f t="shared" si="4"/>
        <v>21</v>
      </c>
      <c r="L21" s="17">
        <f t="shared" si="5"/>
        <v>6</v>
      </c>
    </row>
    <row r="22" spans="1:12" x14ac:dyDescent="0.3">
      <c r="H22" s="21" t="s">
        <v>93</v>
      </c>
      <c r="I22" s="17" t="e">
        <f t="shared" si="2"/>
        <v>#N/A</v>
      </c>
      <c r="J22" s="17" t="e">
        <f t="shared" si="3"/>
        <v>#N/A</v>
      </c>
      <c r="K22" s="17" t="e">
        <f t="shared" si="4"/>
        <v>#N/A</v>
      </c>
      <c r="L22" s="17" t="e">
        <f t="shared" si="5"/>
        <v>#N/A</v>
      </c>
    </row>
    <row r="23" spans="1:12" x14ac:dyDescent="0.3">
      <c r="B23" s="4"/>
      <c r="C23" s="4"/>
      <c r="D23" s="4"/>
      <c r="E23" s="4"/>
      <c r="F23" s="2"/>
      <c r="G23" s="2"/>
    </row>
    <row r="24" spans="1:12" x14ac:dyDescent="0.3">
      <c r="B24" s="5"/>
      <c r="C24" s="5" t="str" cm="1">
        <f t="array" ref="C24">_xlfn._xlws.FILTER(D2:D21,B2:B21="Ravindra Jadeja")</f>
        <v>India</v>
      </c>
      <c r="D24" s="12"/>
      <c r="E24" s="12"/>
      <c r="F24" s="3"/>
      <c r="G24" s="3"/>
    </row>
    <row r="25" spans="1:12" x14ac:dyDescent="0.3">
      <c r="B25" s="5"/>
      <c r="C25" s="5"/>
      <c r="D25" s="12"/>
      <c r="E25" s="12"/>
      <c r="F25" s="3"/>
      <c r="G25" s="3"/>
      <c r="I25" t="str">
        <f ca="1">_xlfn.FORMULATEXT(I17)</f>
        <v>=LOOKUP($H17,$B$2:$B$21,D$2:D$21)</v>
      </c>
      <c r="J25" t="str">
        <f ca="1">_xlfn.FORMULATEXT(J17)</f>
        <v>=LOOKUP($H17,$B$2:$B$21,E$2:E$21)</v>
      </c>
    </row>
    <row r="26" spans="1:12" x14ac:dyDescent="0.3">
      <c r="B26" s="5"/>
      <c r="C26" s="5"/>
      <c r="D26" s="12"/>
      <c r="E26" s="12"/>
      <c r="F26" s="3"/>
      <c r="G26" s="3"/>
    </row>
    <row r="27" spans="1:12" x14ac:dyDescent="0.3">
      <c r="B27" s="5"/>
      <c r="C27" s="5"/>
      <c r="D27" s="12"/>
      <c r="E27" s="12"/>
      <c r="F27" s="3"/>
      <c r="G27" s="3"/>
      <c r="I27" t="str">
        <f ca="1">_xlfn.FORMULATEXT(I18)</f>
        <v>=LOOKUP($H18,$B$2:$B$21,D$2:D$21)</v>
      </c>
    </row>
    <row r="28" spans="1:12" x14ac:dyDescent="0.3">
      <c r="B28" s="5"/>
      <c r="C28" s="5"/>
      <c r="D28" s="12"/>
      <c r="E28" s="12"/>
      <c r="F28" s="3"/>
      <c r="G28" s="3"/>
    </row>
    <row r="29" spans="1:12" x14ac:dyDescent="0.3">
      <c r="B29" s="5"/>
      <c r="C29" s="5"/>
      <c r="D29" s="12"/>
      <c r="E29" s="12"/>
      <c r="F29" s="3"/>
      <c r="G29" s="3"/>
    </row>
  </sheetData>
  <sortState xmlns:xlrd2="http://schemas.microsoft.com/office/spreadsheetml/2017/richdata2" ref="A2:F21">
    <sortCondition ref="B2:B21"/>
  </sortState>
  <mergeCells count="2">
    <mergeCell ref="I2:M4"/>
    <mergeCell ref="H2:H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4BC4-AB5F-4943-A967-AC072A79E0B5}">
  <sheetPr codeName="Sheet6">
    <tabColor theme="8"/>
  </sheetPr>
  <dimension ref="A1:N42"/>
  <sheetViews>
    <sheetView zoomScale="115" zoomScaleNormal="115" workbookViewId="0">
      <selection activeCell="G27" sqref="G27"/>
    </sheetView>
  </sheetViews>
  <sheetFormatPr defaultRowHeight="14.4" x14ac:dyDescent="0.3"/>
  <cols>
    <col min="1" max="1" width="8.88671875" style="1"/>
    <col min="2" max="2" width="16.44140625" bestFit="1" customWidth="1"/>
    <col min="3" max="3" width="16.44140625" customWidth="1"/>
    <col min="4" max="4" width="16.44140625" style="1" customWidth="1"/>
    <col min="5" max="5" width="14.44140625" style="1" customWidth="1"/>
    <col min="6" max="6" width="10.77734375" customWidth="1"/>
    <col min="8" max="8" width="15.44140625" bestFit="1" customWidth="1"/>
    <col min="9" max="9" width="31.44140625" bestFit="1" customWidth="1"/>
    <col min="10" max="10" width="28.109375" bestFit="1" customWidth="1"/>
    <col min="11" max="11" width="13" customWidth="1"/>
    <col min="12" max="12" width="13.88671875" customWidth="1"/>
  </cols>
  <sheetData>
    <row r="1" spans="1:14" s="10" customFormat="1" ht="13.8" x14ac:dyDescent="0.3">
      <c r="A1" s="21" t="s">
        <v>77</v>
      </c>
      <c r="B1" s="21" t="s">
        <v>53</v>
      </c>
      <c r="C1" s="21" t="s">
        <v>57</v>
      </c>
      <c r="D1" s="21" t="s">
        <v>54</v>
      </c>
      <c r="E1" s="21" t="s">
        <v>46</v>
      </c>
      <c r="F1" s="21" t="s">
        <v>51</v>
      </c>
    </row>
    <row r="2" spans="1:14" x14ac:dyDescent="0.3">
      <c r="A2" s="17">
        <v>3</v>
      </c>
      <c r="B2" s="18" t="s">
        <v>33</v>
      </c>
      <c r="C2" s="17" t="str">
        <f>LEFT(B2,2) &amp; A2 &amp; LEFT(E2,2)</f>
        <v>Ai3Al</v>
      </c>
      <c r="D2" s="17" t="s">
        <v>56</v>
      </c>
      <c r="E2" s="19" t="s">
        <v>49</v>
      </c>
      <c r="F2" s="20">
        <v>4</v>
      </c>
      <c r="H2" s="43" t="s">
        <v>103</v>
      </c>
      <c r="I2" s="37" t="s">
        <v>109</v>
      </c>
      <c r="J2" s="37"/>
      <c r="K2" s="37"/>
      <c r="L2" s="37"/>
      <c r="M2" s="38"/>
      <c r="N2" s="10"/>
    </row>
    <row r="3" spans="1:14" x14ac:dyDescent="0.3">
      <c r="A3" s="17">
        <v>10</v>
      </c>
      <c r="B3" s="18" t="s">
        <v>34</v>
      </c>
      <c r="C3" s="17" t="str">
        <f>LEFT(B3,2) &amp; A3 &amp; LEFT(E3,2)</f>
        <v>An10Bo</v>
      </c>
      <c r="D3" s="17" t="s">
        <v>56</v>
      </c>
      <c r="E3" s="19" t="s">
        <v>50</v>
      </c>
      <c r="F3" s="20">
        <v>1</v>
      </c>
      <c r="H3" s="44"/>
      <c r="I3" s="39"/>
      <c r="J3" s="39"/>
      <c r="K3" s="39"/>
      <c r="L3" s="39"/>
      <c r="M3" s="40"/>
      <c r="N3" s="10"/>
    </row>
    <row r="4" spans="1:14" x14ac:dyDescent="0.3">
      <c r="A4" s="17">
        <v>5</v>
      </c>
      <c r="B4" s="18" t="s">
        <v>67</v>
      </c>
      <c r="C4" s="17" t="str">
        <f>LEFT(B4,2) &amp; A4 &amp; LEFT(E4,2)</f>
        <v>Ax5Al</v>
      </c>
      <c r="D4" s="17" t="s">
        <v>55</v>
      </c>
      <c r="E4" s="19" t="s">
        <v>49</v>
      </c>
      <c r="F4" s="20">
        <v>47</v>
      </c>
      <c r="H4" s="45"/>
      <c r="I4" s="41"/>
      <c r="J4" s="41"/>
      <c r="K4" s="41"/>
      <c r="L4" s="41"/>
      <c r="M4" s="42"/>
      <c r="N4" s="10"/>
    </row>
    <row r="5" spans="1:14" x14ac:dyDescent="0.3">
      <c r="A5" s="17">
        <v>6</v>
      </c>
      <c r="B5" s="18" t="s">
        <v>75</v>
      </c>
      <c r="C5" s="17" t="str">
        <f>LEFT(B5,2) &amp; A5 &amp; LEFT(E5,2)</f>
        <v>Da6Ba</v>
      </c>
      <c r="D5" s="17" t="s">
        <v>56</v>
      </c>
      <c r="E5" s="19" t="s">
        <v>47</v>
      </c>
      <c r="F5" s="20">
        <v>21</v>
      </c>
      <c r="H5" s="10"/>
      <c r="I5" s="10"/>
      <c r="J5" s="10"/>
      <c r="K5" s="10"/>
      <c r="L5" s="10"/>
      <c r="M5" s="10"/>
      <c r="N5" s="10"/>
    </row>
    <row r="6" spans="1:14" x14ac:dyDescent="0.3">
      <c r="A6" s="17">
        <v>9</v>
      </c>
      <c r="B6" s="18" t="s">
        <v>58</v>
      </c>
      <c r="C6" s="17"/>
      <c r="D6" s="17"/>
      <c r="E6" s="19"/>
      <c r="F6" s="20">
        <v>7</v>
      </c>
      <c r="H6" s="10"/>
      <c r="I6" s="10"/>
      <c r="J6" s="10"/>
      <c r="K6" s="10"/>
      <c r="L6" s="10"/>
      <c r="M6" s="10"/>
      <c r="N6" s="10"/>
    </row>
    <row r="7" spans="1:14" x14ac:dyDescent="0.3">
      <c r="A7" s="17">
        <v>11</v>
      </c>
      <c r="B7" s="18" t="s">
        <v>58</v>
      </c>
      <c r="C7" s="17"/>
      <c r="D7" s="17"/>
      <c r="E7" s="19"/>
      <c r="F7" s="20">
        <v>9</v>
      </c>
      <c r="H7" s="14" t="s">
        <v>62</v>
      </c>
      <c r="I7" s="23" t="s">
        <v>59</v>
      </c>
      <c r="J7" s="14" t="s">
        <v>60</v>
      </c>
      <c r="K7" s="14" t="s">
        <v>98</v>
      </c>
      <c r="L7" s="14" t="s">
        <v>61</v>
      </c>
    </row>
    <row r="8" spans="1:14" x14ac:dyDescent="0.3">
      <c r="A8" s="17">
        <v>7</v>
      </c>
      <c r="B8" s="18" t="s">
        <v>69</v>
      </c>
      <c r="C8" s="17" t="str">
        <f t="shared" ref="C8:C21" si="0">LEFT(B8,2) &amp; A8 &amp; LEFT(E8,2)</f>
        <v>Ha7Al</v>
      </c>
      <c r="D8" s="17" t="s">
        <v>55</v>
      </c>
      <c r="E8" s="19" t="s">
        <v>49</v>
      </c>
      <c r="F8" s="20">
        <v>5</v>
      </c>
      <c r="H8" s="10" t="s">
        <v>91</v>
      </c>
      <c r="I8" s="46"/>
      <c r="J8" s="46"/>
    </row>
    <row r="9" spans="1:14" x14ac:dyDescent="0.3">
      <c r="A9" s="17">
        <v>5</v>
      </c>
      <c r="B9" s="18" t="s">
        <v>74</v>
      </c>
      <c r="C9" s="17" t="str">
        <f t="shared" si="0"/>
        <v>He5Ba</v>
      </c>
      <c r="D9" s="17" t="s">
        <v>56</v>
      </c>
      <c r="E9" s="19" t="s">
        <v>47</v>
      </c>
      <c r="F9" s="20">
        <v>52</v>
      </c>
      <c r="H9" s="10" t="s">
        <v>76</v>
      </c>
      <c r="I9" s="46"/>
      <c r="J9" s="46"/>
    </row>
    <row r="10" spans="1:14" x14ac:dyDescent="0.3">
      <c r="A10" s="17">
        <v>9</v>
      </c>
      <c r="B10" s="18" t="s">
        <v>32</v>
      </c>
      <c r="C10" s="17" t="str">
        <f t="shared" si="0"/>
        <v>Ka9Bo</v>
      </c>
      <c r="D10" s="17" t="s">
        <v>56</v>
      </c>
      <c r="E10" s="19" t="s">
        <v>50</v>
      </c>
      <c r="F10" s="20">
        <v>4</v>
      </c>
      <c r="H10" s="10"/>
      <c r="I10" s="22" t="s">
        <v>76</v>
      </c>
    </row>
    <row r="11" spans="1:14" x14ac:dyDescent="0.3">
      <c r="A11" s="17">
        <v>8</v>
      </c>
      <c r="B11" s="18" t="s">
        <v>31</v>
      </c>
      <c r="C11" s="17" t="str">
        <f t="shared" si="0"/>
        <v>Ke8Bo</v>
      </c>
      <c r="D11" s="17" t="s">
        <v>56</v>
      </c>
      <c r="E11" s="19" t="s">
        <v>50</v>
      </c>
      <c r="F11" s="20">
        <v>2</v>
      </c>
      <c r="H11" s="16"/>
      <c r="I11" s="22" t="s">
        <v>95</v>
      </c>
      <c r="J11" s="10"/>
    </row>
    <row r="12" spans="1:14" x14ac:dyDescent="0.3">
      <c r="A12" s="17">
        <v>7</v>
      </c>
      <c r="B12" s="18" t="s">
        <v>30</v>
      </c>
      <c r="C12" s="17" t="str">
        <f t="shared" si="0"/>
        <v>Ma7Al</v>
      </c>
      <c r="D12" s="17" t="s">
        <v>56</v>
      </c>
      <c r="E12" s="19" t="s">
        <v>49</v>
      </c>
      <c r="F12" s="20">
        <v>2</v>
      </c>
    </row>
    <row r="13" spans="1:14" x14ac:dyDescent="0.3">
      <c r="A13" s="17">
        <v>2</v>
      </c>
      <c r="B13" s="18" t="s">
        <v>72</v>
      </c>
      <c r="C13" s="17" t="str">
        <f t="shared" si="0"/>
        <v>Qu2Wi</v>
      </c>
      <c r="D13" s="17" t="s">
        <v>56</v>
      </c>
      <c r="E13" s="19" t="s">
        <v>48</v>
      </c>
      <c r="F13" s="20">
        <v>39</v>
      </c>
      <c r="H13" t="s">
        <v>123</v>
      </c>
    </row>
    <row r="14" spans="1:14" x14ac:dyDescent="0.3">
      <c r="A14" s="17">
        <v>8</v>
      </c>
      <c r="B14" s="18" t="s">
        <v>70</v>
      </c>
      <c r="C14" s="17" t="str">
        <f t="shared" si="0"/>
        <v>Ra8Al</v>
      </c>
      <c r="D14" s="17" t="s">
        <v>55</v>
      </c>
      <c r="E14" s="19" t="s">
        <v>49</v>
      </c>
      <c r="F14" s="20">
        <v>2</v>
      </c>
      <c r="H14" s="21" t="s">
        <v>53</v>
      </c>
      <c r="I14" s="21" t="s">
        <v>54</v>
      </c>
      <c r="J14" s="21" t="s">
        <v>46</v>
      </c>
      <c r="K14" s="21" t="s">
        <v>51</v>
      </c>
      <c r="L14" s="21" t="s">
        <v>77</v>
      </c>
    </row>
    <row r="15" spans="1:14" ht="16.8" x14ac:dyDescent="0.4">
      <c r="A15" s="17">
        <v>1</v>
      </c>
      <c r="B15" s="18" t="s">
        <v>71</v>
      </c>
      <c r="C15" s="17" t="str">
        <f t="shared" si="0"/>
        <v>Re1Ba</v>
      </c>
      <c r="D15" s="17" t="s">
        <v>56</v>
      </c>
      <c r="E15" s="19" t="s">
        <v>47</v>
      </c>
      <c r="F15" s="20">
        <v>4</v>
      </c>
      <c r="H15" s="21" t="s">
        <v>70</v>
      </c>
      <c r="I15" s="35" t="str">
        <f>LOOKUP($H15,$B$1:$B$21,D$1:D$21)</f>
        <v>India</v>
      </c>
      <c r="J15" s="35" t="str">
        <f>LOOKUP($H15,$B$1:$B$21,E$1:E$21)</f>
        <v>All-Rounder</v>
      </c>
      <c r="K15" s="35">
        <f>LOOKUP($H15,$B$1:$B$21,F$1:F$21)</f>
        <v>2</v>
      </c>
      <c r="L15" s="17">
        <f>LOOKUP($H15,$B$1:$B$21,A$1:A$21)</f>
        <v>8</v>
      </c>
    </row>
    <row r="16" spans="1:14" ht="16.8" x14ac:dyDescent="0.4">
      <c r="A16" s="17">
        <v>3</v>
      </c>
      <c r="B16" s="18" t="s">
        <v>65</v>
      </c>
      <c r="C16" s="17" t="str">
        <f t="shared" si="0"/>
        <v>Ri3Wi</v>
      </c>
      <c r="D16" s="17" t="s">
        <v>55</v>
      </c>
      <c r="E16" s="19" t="s">
        <v>48</v>
      </c>
      <c r="F16" s="20">
        <v>0</v>
      </c>
      <c r="H16" s="21" t="s">
        <v>69</v>
      </c>
      <c r="I16" s="35" t="str">
        <f t="shared" ref="I16:I20" si="1">LOOKUP($H16,$B$1:$B$21,D$1:D$21)</f>
        <v>India</v>
      </c>
      <c r="J16" s="35" t="str">
        <f t="shared" ref="J16:J20" si="2">LOOKUP($H16,$B$1:$B$21,E$1:E$21)</f>
        <v>All-Rounder</v>
      </c>
      <c r="K16" s="35">
        <f t="shared" ref="K16:K20" si="3">LOOKUP($H16,$B$1:$B$21,F$1:F$21)</f>
        <v>5</v>
      </c>
      <c r="L16" s="17">
        <f t="shared" ref="L16:L20" si="4">LOOKUP($H16,$B$1:$B$21,A$1:A$21)</f>
        <v>7</v>
      </c>
    </row>
    <row r="17" spans="1:13" ht="16.8" x14ac:dyDescent="0.4">
      <c r="A17" s="17">
        <v>1</v>
      </c>
      <c r="B17" s="18" t="s">
        <v>64</v>
      </c>
      <c r="C17" s="17" t="str">
        <f t="shared" si="0"/>
        <v>Ro1Ba</v>
      </c>
      <c r="D17" s="17" t="s">
        <v>55</v>
      </c>
      <c r="E17" s="19" t="s">
        <v>47</v>
      </c>
      <c r="F17" s="20">
        <v>9</v>
      </c>
      <c r="H17" s="21" t="s">
        <v>67</v>
      </c>
      <c r="I17" s="35" t="str">
        <f t="shared" si="1"/>
        <v>India</v>
      </c>
      <c r="J17" s="35" t="str">
        <f t="shared" si="2"/>
        <v>All-Rounder</v>
      </c>
      <c r="K17" s="35">
        <f t="shared" si="3"/>
        <v>47</v>
      </c>
      <c r="L17" s="17">
        <f t="shared" si="4"/>
        <v>5</v>
      </c>
    </row>
    <row r="18" spans="1:13" ht="16.8" x14ac:dyDescent="0.4">
      <c r="A18" s="17">
        <v>6</v>
      </c>
      <c r="B18" s="18" t="s">
        <v>68</v>
      </c>
      <c r="C18" s="17" t="str">
        <f t="shared" si="0"/>
        <v>Sh6Al</v>
      </c>
      <c r="D18" s="17" t="s">
        <v>55</v>
      </c>
      <c r="E18" s="19" t="s">
        <v>49</v>
      </c>
      <c r="F18" s="20">
        <v>27</v>
      </c>
      <c r="H18" s="21" t="s">
        <v>71</v>
      </c>
      <c r="I18" s="35" t="str">
        <f t="shared" si="1"/>
        <v>South Africa</v>
      </c>
      <c r="J18" s="35" t="str">
        <f t="shared" si="2"/>
        <v>Batsman</v>
      </c>
      <c r="K18" s="35">
        <f t="shared" si="3"/>
        <v>4</v>
      </c>
      <c r="L18" s="17">
        <f t="shared" si="4"/>
        <v>1</v>
      </c>
    </row>
    <row r="19" spans="1:13" ht="16.8" x14ac:dyDescent="0.4">
      <c r="A19" s="17">
        <v>4</v>
      </c>
      <c r="B19" s="18" t="s">
        <v>66</v>
      </c>
      <c r="C19" s="17" t="str">
        <f t="shared" si="0"/>
        <v>Su4Ba</v>
      </c>
      <c r="D19" s="17" t="s">
        <v>55</v>
      </c>
      <c r="E19" s="19" t="s">
        <v>47</v>
      </c>
      <c r="F19" s="20">
        <v>3</v>
      </c>
      <c r="H19" s="21" t="s">
        <v>75</v>
      </c>
      <c r="I19" s="35" t="str">
        <f t="shared" si="1"/>
        <v>South Africa</v>
      </c>
      <c r="J19" s="35" t="str">
        <f t="shared" si="2"/>
        <v>Batsman</v>
      </c>
      <c r="K19" s="35">
        <f t="shared" si="3"/>
        <v>21</v>
      </c>
      <c r="L19" s="17">
        <f t="shared" si="4"/>
        <v>6</v>
      </c>
    </row>
    <row r="20" spans="1:13" ht="16.8" x14ac:dyDescent="0.4">
      <c r="A20" s="17">
        <v>4</v>
      </c>
      <c r="B20" s="18" t="s">
        <v>73</v>
      </c>
      <c r="C20" s="17" t="str">
        <f t="shared" si="0"/>
        <v>Tr4Al</v>
      </c>
      <c r="D20" s="17" t="s">
        <v>56</v>
      </c>
      <c r="E20" s="19" t="s">
        <v>49</v>
      </c>
      <c r="F20" s="20">
        <v>31</v>
      </c>
      <c r="H20" s="21" t="s">
        <v>93</v>
      </c>
      <c r="I20" s="35" t="e">
        <f t="shared" si="1"/>
        <v>#N/A</v>
      </c>
      <c r="J20" s="35" t="e">
        <f t="shared" si="2"/>
        <v>#N/A</v>
      </c>
      <c r="K20" s="35" t="e">
        <f t="shared" si="3"/>
        <v>#N/A</v>
      </c>
      <c r="L20" s="17" t="e">
        <f t="shared" si="4"/>
        <v>#N/A</v>
      </c>
    </row>
    <row r="21" spans="1:13" x14ac:dyDescent="0.3">
      <c r="A21" s="17">
        <v>2</v>
      </c>
      <c r="B21" s="18" t="s">
        <v>63</v>
      </c>
      <c r="C21" s="17" t="str">
        <f t="shared" si="0"/>
        <v>Vi2Ba</v>
      </c>
      <c r="D21" s="17" t="s">
        <v>55</v>
      </c>
      <c r="E21" s="19" t="s">
        <v>47</v>
      </c>
      <c r="F21" s="20">
        <v>76</v>
      </c>
    </row>
    <row r="23" spans="1:13" x14ac:dyDescent="0.3">
      <c r="B23" s="4"/>
      <c r="C23" s="4"/>
      <c r="D23" s="4"/>
      <c r="E23" s="4"/>
      <c r="F23" s="2"/>
      <c r="G23" s="2"/>
      <c r="H23" s="21" t="s">
        <v>51</v>
      </c>
      <c r="I23" s="21" t="s">
        <v>101</v>
      </c>
      <c r="K23" t="s">
        <v>51</v>
      </c>
      <c r="L23" t="s">
        <v>101</v>
      </c>
    </row>
    <row r="24" spans="1:13" x14ac:dyDescent="0.3">
      <c r="B24" s="5"/>
      <c r="C24" s="5"/>
      <c r="D24" s="12"/>
      <c r="E24" s="12"/>
      <c r="F24" s="3"/>
      <c r="G24" s="3"/>
      <c r="H24" s="15">
        <v>0</v>
      </c>
      <c r="I24" s="15" t="s">
        <v>0</v>
      </c>
      <c r="K24">
        <v>14</v>
      </c>
      <c r="L24" t="str">
        <f>VLOOKUP(K24,H24:I28,2,TRUE)</f>
        <v>A</v>
      </c>
      <c r="M24" t="str">
        <f>VLOOKUP(K24,H23:I28,2,TRUE)</f>
        <v>A</v>
      </c>
    </row>
    <row r="25" spans="1:13" x14ac:dyDescent="0.3">
      <c r="B25" s="5"/>
      <c r="C25" s="5"/>
      <c r="D25" s="12"/>
      <c r="E25" s="12"/>
      <c r="F25" s="3"/>
      <c r="G25" s="3"/>
      <c r="H25" s="15">
        <v>20</v>
      </c>
      <c r="I25" s="15" t="s">
        <v>1</v>
      </c>
      <c r="K25">
        <v>25</v>
      </c>
      <c r="L25" t="str">
        <f t="shared" ref="L25:L28" si="5">VLOOKUP(K25,H25:I29,2,TRUE)</f>
        <v>B</v>
      </c>
      <c r="M25" t="str">
        <f t="shared" ref="M25:M28" si="6">VLOOKUP(K25,H24:I29,2,TRUE)</f>
        <v>B</v>
      </c>
    </row>
    <row r="26" spans="1:13" x14ac:dyDescent="0.3">
      <c r="B26" s="5"/>
      <c r="C26" s="5"/>
      <c r="D26" s="12"/>
      <c r="E26" s="12"/>
      <c r="F26" s="3"/>
      <c r="G26" s="3"/>
      <c r="H26" s="15">
        <v>40</v>
      </c>
      <c r="I26" s="15" t="s">
        <v>2</v>
      </c>
      <c r="K26">
        <v>54</v>
      </c>
      <c r="L26" t="str">
        <f t="shared" si="5"/>
        <v>C</v>
      </c>
      <c r="M26" t="str">
        <f t="shared" si="6"/>
        <v>C</v>
      </c>
    </row>
    <row r="27" spans="1:13" x14ac:dyDescent="0.3">
      <c r="B27" s="5"/>
      <c r="C27" s="5"/>
      <c r="D27" s="12"/>
      <c r="E27" s="12"/>
      <c r="F27" s="3"/>
      <c r="G27" s="3"/>
      <c r="H27" s="15">
        <v>60</v>
      </c>
      <c r="I27" s="15" t="s">
        <v>3</v>
      </c>
      <c r="K27">
        <v>72</v>
      </c>
      <c r="L27" t="str">
        <f t="shared" si="5"/>
        <v>D</v>
      </c>
      <c r="M27" t="str">
        <f t="shared" si="6"/>
        <v>D</v>
      </c>
    </row>
    <row r="28" spans="1:13" x14ac:dyDescent="0.3">
      <c r="B28" s="5"/>
      <c r="C28" s="5"/>
      <c r="D28" s="12"/>
      <c r="E28" s="12"/>
      <c r="F28" s="3"/>
      <c r="G28" s="3"/>
      <c r="H28" s="15">
        <v>80</v>
      </c>
      <c r="I28" s="15" t="s">
        <v>4</v>
      </c>
      <c r="K28">
        <v>94</v>
      </c>
      <c r="L28" t="str">
        <f t="shared" si="5"/>
        <v>E</v>
      </c>
      <c r="M28" t="str">
        <f t="shared" si="6"/>
        <v>E</v>
      </c>
    </row>
    <row r="29" spans="1:13" x14ac:dyDescent="0.3">
      <c r="B29" s="5"/>
      <c r="C29" s="5"/>
      <c r="D29" s="12"/>
      <c r="E29" s="12"/>
      <c r="F29" s="3"/>
      <c r="G29" s="3"/>
    </row>
    <row r="30" spans="1:13" x14ac:dyDescent="0.3">
      <c r="I30" t="str">
        <f ca="1">_xlfn.FORMULATEXT(I15)</f>
        <v>=LOOKUP($H15,$B$1:$B$21,D$1:D$21)</v>
      </c>
      <c r="J30" t="str">
        <f ca="1">_xlfn.FORMULATEXT(J15)</f>
        <v>=LOOKUP($H15,$B$1:$B$21,E$1:E$21)</v>
      </c>
    </row>
    <row r="31" spans="1:13" x14ac:dyDescent="0.3">
      <c r="I31" t="str">
        <f ca="1">_xlfn.FORMULATEXT(I15)</f>
        <v>=LOOKUP($H15,$B$1:$B$21,D$1:D$21)</v>
      </c>
    </row>
    <row r="35" spans="8:12" x14ac:dyDescent="0.3">
      <c r="H35" t="s">
        <v>124</v>
      </c>
    </row>
    <row r="36" spans="8:12" x14ac:dyDescent="0.3">
      <c r="H36" s="21" t="s">
        <v>53</v>
      </c>
      <c r="I36" s="21" t="s">
        <v>54</v>
      </c>
      <c r="J36" s="21" t="s">
        <v>46</v>
      </c>
      <c r="K36" s="21" t="s">
        <v>51</v>
      </c>
      <c r="L36" s="21" t="s">
        <v>77</v>
      </c>
    </row>
    <row r="37" spans="8:12" ht="16.8" x14ac:dyDescent="0.3">
      <c r="H37" s="21" t="s">
        <v>70</v>
      </c>
      <c r="I37" s="36" t="str">
        <f>VLOOKUP($H37,B1:F21,3,FALSE)</f>
        <v>India</v>
      </c>
      <c r="J37" s="36" t="str">
        <f>VLOOKUP(H37,$B$1:$F$21,4,FALSE)</f>
        <v>All-Rounder</v>
      </c>
      <c r="K37" s="36">
        <f>VLOOKUP($H37,$B$1:$F$21,5,FALSE)</f>
        <v>2</v>
      </c>
      <c r="L37" s="17">
        <f>LOOKUP($H37,$B$1:$B$21,A$1:A$21)</f>
        <v>8</v>
      </c>
    </row>
    <row r="38" spans="8:12" ht="16.8" x14ac:dyDescent="0.3">
      <c r="H38" s="21" t="s">
        <v>69</v>
      </c>
      <c r="I38" s="36" t="str">
        <f t="shared" ref="I38:I42" si="7">VLOOKUP($H38,B2:F22,3,FALSE)</f>
        <v>India</v>
      </c>
      <c r="J38" s="36" t="str">
        <f t="shared" ref="J38:J42" si="8">VLOOKUP(H38,$B$1:$F$21,4,FALSE)</f>
        <v>All-Rounder</v>
      </c>
      <c r="K38" s="36">
        <f t="shared" ref="K38:K42" si="9">VLOOKUP($H38,$B$1:$F$21,5,FALSE)</f>
        <v>5</v>
      </c>
      <c r="L38" s="17">
        <f t="shared" ref="L38:L42" si="10">LOOKUP($H38,$B$1:$B$21,A$1:A$21)</f>
        <v>7</v>
      </c>
    </row>
    <row r="39" spans="8:12" ht="16.8" x14ac:dyDescent="0.3">
      <c r="H39" s="21" t="s">
        <v>67</v>
      </c>
      <c r="I39" s="36" t="str">
        <f t="shared" si="7"/>
        <v>India</v>
      </c>
      <c r="J39" s="36" t="str">
        <f t="shared" si="8"/>
        <v>All-Rounder</v>
      </c>
      <c r="K39" s="36">
        <f t="shared" si="9"/>
        <v>47</v>
      </c>
      <c r="L39" s="17">
        <f t="shared" si="10"/>
        <v>5</v>
      </c>
    </row>
    <row r="40" spans="8:12" ht="16.8" x14ac:dyDescent="0.3">
      <c r="H40" s="21" t="s">
        <v>71</v>
      </c>
      <c r="I40" s="36" t="str">
        <f t="shared" si="7"/>
        <v>South Africa</v>
      </c>
      <c r="J40" s="36" t="str">
        <f t="shared" si="8"/>
        <v>Batsman</v>
      </c>
      <c r="K40" s="36">
        <f t="shared" si="9"/>
        <v>4</v>
      </c>
      <c r="L40" s="17">
        <f t="shared" si="10"/>
        <v>1</v>
      </c>
    </row>
    <row r="41" spans="8:12" ht="16.8" x14ac:dyDescent="0.3">
      <c r="H41" s="21" t="s">
        <v>75</v>
      </c>
      <c r="I41" s="36" t="str">
        <f t="shared" si="7"/>
        <v>South Africa</v>
      </c>
      <c r="J41" s="36" t="str">
        <f t="shared" si="8"/>
        <v>Batsman</v>
      </c>
      <c r="K41" s="36">
        <f t="shared" si="9"/>
        <v>21</v>
      </c>
      <c r="L41" s="17">
        <f t="shared" si="10"/>
        <v>6</v>
      </c>
    </row>
    <row r="42" spans="8:12" ht="16.8" x14ac:dyDescent="0.3">
      <c r="H42" s="21" t="s">
        <v>93</v>
      </c>
      <c r="I42" s="36" t="e">
        <f t="shared" si="7"/>
        <v>#N/A</v>
      </c>
      <c r="J42" s="36" t="e">
        <f t="shared" si="8"/>
        <v>#N/A</v>
      </c>
      <c r="K42" s="36" t="e">
        <f t="shared" si="9"/>
        <v>#N/A</v>
      </c>
      <c r="L42" s="17" t="e">
        <f t="shared" si="10"/>
        <v>#N/A</v>
      </c>
    </row>
  </sheetData>
  <sortState xmlns:xlrd2="http://schemas.microsoft.com/office/spreadsheetml/2017/richdata2" ref="A2:F21">
    <sortCondition ref="B2:B21"/>
  </sortState>
  <mergeCells count="4">
    <mergeCell ref="I8:I9"/>
    <mergeCell ref="J8:J9"/>
    <mergeCell ref="H2:H4"/>
    <mergeCell ref="I2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5C85-94FB-4537-90EF-E3467464C918}">
  <sheetPr codeName="Sheet7">
    <tabColor theme="8"/>
  </sheetPr>
  <dimension ref="A1:S28"/>
  <sheetViews>
    <sheetView zoomScale="115" zoomScaleNormal="115" workbookViewId="0">
      <selection activeCell="K10" sqref="K10"/>
    </sheetView>
  </sheetViews>
  <sheetFormatPr defaultRowHeight="14.4" x14ac:dyDescent="0.3"/>
  <cols>
    <col min="1" max="1" width="11" style="1" bestFit="1" customWidth="1"/>
    <col min="2" max="2" width="15.77734375" bestFit="1" customWidth="1"/>
    <col min="3" max="3" width="12.109375" customWidth="1"/>
    <col min="4" max="4" width="12.77734375" style="1" customWidth="1"/>
    <col min="5" max="5" width="15.77734375" style="1" customWidth="1"/>
    <col min="6" max="6" width="13.88671875" customWidth="1"/>
    <col min="7" max="7" width="12.44140625" customWidth="1"/>
    <col min="8" max="8" width="14.109375" bestFit="1" customWidth="1"/>
    <col min="9" max="9" width="13.77734375" customWidth="1"/>
    <col min="10" max="10" width="14.77734375" customWidth="1"/>
    <col min="11" max="11" width="14.88671875" customWidth="1"/>
    <col min="12" max="12" width="13.88671875" customWidth="1"/>
    <col min="13" max="13" width="13.33203125" customWidth="1"/>
    <col min="14" max="14" width="13.88671875" bestFit="1" customWidth="1"/>
    <col min="15" max="15" width="10.44140625" bestFit="1" customWidth="1"/>
    <col min="16" max="16" width="11.5546875" bestFit="1" customWidth="1"/>
    <col min="17" max="17" width="13.44140625" bestFit="1" customWidth="1"/>
    <col min="18" max="18" width="12.109375" bestFit="1" customWidth="1"/>
    <col min="19" max="19" width="11.33203125" bestFit="1" customWidth="1"/>
  </cols>
  <sheetData>
    <row r="1" spans="1:19" x14ac:dyDescent="0.3">
      <c r="A1" s="21" t="s">
        <v>77</v>
      </c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1</v>
      </c>
      <c r="K1" s="17">
        <v>2</v>
      </c>
      <c r="L1" s="17">
        <v>3</v>
      </c>
      <c r="M1" s="17">
        <v>4</v>
      </c>
      <c r="N1" s="17">
        <v>5</v>
      </c>
      <c r="O1" s="17">
        <v>6</v>
      </c>
      <c r="P1" s="17">
        <v>7</v>
      </c>
      <c r="Q1" s="17">
        <v>8</v>
      </c>
      <c r="R1" s="17">
        <v>9</v>
      </c>
      <c r="S1" s="17">
        <v>10</v>
      </c>
    </row>
    <row r="2" spans="1:19" s="1" customFormat="1" x14ac:dyDescent="0.3">
      <c r="A2" s="21" t="s">
        <v>53</v>
      </c>
      <c r="B2" s="17" t="s">
        <v>64</v>
      </c>
      <c r="C2" s="17" t="s">
        <v>63</v>
      </c>
      <c r="D2" s="17" t="s">
        <v>65</v>
      </c>
      <c r="E2" s="17" t="s">
        <v>66</v>
      </c>
      <c r="F2" s="17" t="s">
        <v>67</v>
      </c>
      <c r="G2" s="17" t="s">
        <v>68</v>
      </c>
      <c r="H2" s="17" t="s">
        <v>69</v>
      </c>
      <c r="I2" s="17" t="s">
        <v>70</v>
      </c>
      <c r="J2" s="17" t="s">
        <v>71</v>
      </c>
      <c r="K2" s="17" t="s">
        <v>72</v>
      </c>
      <c r="L2" s="17" t="s">
        <v>33</v>
      </c>
      <c r="M2" s="17" t="s">
        <v>73</v>
      </c>
      <c r="N2" s="17" t="s">
        <v>74</v>
      </c>
      <c r="O2" s="17" t="s">
        <v>75</v>
      </c>
      <c r="P2" s="17" t="s">
        <v>30</v>
      </c>
      <c r="Q2" s="17" t="s">
        <v>31</v>
      </c>
      <c r="R2" s="17" t="s">
        <v>32</v>
      </c>
      <c r="S2" s="17" t="s">
        <v>34</v>
      </c>
    </row>
    <row r="3" spans="1:19" x14ac:dyDescent="0.3">
      <c r="A3" s="21" t="s">
        <v>57</v>
      </c>
      <c r="B3" s="17" t="str">
        <f t="shared" ref="B3:S3" si="0">LEFT(B2,2) &amp; B1 &amp; LEFT(B5,2)</f>
        <v>Ro1Ba</v>
      </c>
      <c r="C3" s="17" t="str">
        <f t="shared" si="0"/>
        <v>Vi2Ba</v>
      </c>
      <c r="D3" s="17" t="str">
        <f t="shared" si="0"/>
        <v>Ri3Wi</v>
      </c>
      <c r="E3" s="17" t="str">
        <f t="shared" si="0"/>
        <v>Su4Ba</v>
      </c>
      <c r="F3" s="17" t="str">
        <f t="shared" si="0"/>
        <v>Ax5Al</v>
      </c>
      <c r="G3" s="17" t="str">
        <f t="shared" si="0"/>
        <v>Sh6Al</v>
      </c>
      <c r="H3" s="17" t="str">
        <f t="shared" si="0"/>
        <v>Ha7Al</v>
      </c>
      <c r="I3" s="17" t="str">
        <f t="shared" si="0"/>
        <v>Ra8Al</v>
      </c>
      <c r="J3" s="17" t="str">
        <f t="shared" si="0"/>
        <v>Re1Ba</v>
      </c>
      <c r="K3" s="17" t="str">
        <f t="shared" si="0"/>
        <v>Qu2Wi</v>
      </c>
      <c r="L3" s="17" t="str">
        <f t="shared" si="0"/>
        <v>Ai3Al</v>
      </c>
      <c r="M3" s="17" t="str">
        <f t="shared" si="0"/>
        <v>Tr4Al</v>
      </c>
      <c r="N3" s="17" t="str">
        <f t="shared" si="0"/>
        <v>He5Ba</v>
      </c>
      <c r="O3" s="17" t="str">
        <f t="shared" si="0"/>
        <v>Da6Ba</v>
      </c>
      <c r="P3" s="17" t="str">
        <f t="shared" si="0"/>
        <v>Ma7Al</v>
      </c>
      <c r="Q3" s="17" t="str">
        <f t="shared" si="0"/>
        <v>Ke8Bo</v>
      </c>
      <c r="R3" s="17" t="str">
        <f t="shared" si="0"/>
        <v>Ka9Bo</v>
      </c>
      <c r="S3" s="17" t="str">
        <f t="shared" si="0"/>
        <v>An10Bo</v>
      </c>
    </row>
    <row r="4" spans="1:19" x14ac:dyDescent="0.3">
      <c r="A4" s="21" t="s">
        <v>54</v>
      </c>
      <c r="B4" s="17" t="s">
        <v>55</v>
      </c>
      <c r="C4" s="17" t="s">
        <v>55</v>
      </c>
      <c r="D4" s="17" t="s">
        <v>55</v>
      </c>
      <c r="E4" s="17" t="s">
        <v>55</v>
      </c>
      <c r="F4" s="17" t="s">
        <v>55</v>
      </c>
      <c r="G4" s="17" t="s">
        <v>55</v>
      </c>
      <c r="H4" s="17" t="s">
        <v>55</v>
      </c>
      <c r="I4" s="17" t="s">
        <v>55</v>
      </c>
      <c r="J4" s="17" t="s">
        <v>56</v>
      </c>
      <c r="K4" s="17" t="s">
        <v>56</v>
      </c>
      <c r="L4" s="17" t="s">
        <v>56</v>
      </c>
      <c r="M4" s="17" t="s">
        <v>56</v>
      </c>
      <c r="N4" s="17" t="s">
        <v>56</v>
      </c>
      <c r="O4" s="17" t="s">
        <v>56</v>
      </c>
      <c r="P4" s="17" t="s">
        <v>56</v>
      </c>
      <c r="Q4" s="17" t="s">
        <v>56</v>
      </c>
      <c r="R4" s="17" t="s">
        <v>56</v>
      </c>
      <c r="S4" s="17" t="s">
        <v>56</v>
      </c>
    </row>
    <row r="5" spans="1:19" x14ac:dyDescent="0.3">
      <c r="A5" s="21" t="s">
        <v>46</v>
      </c>
      <c r="B5" s="19" t="s">
        <v>47</v>
      </c>
      <c r="C5" s="19" t="s">
        <v>47</v>
      </c>
      <c r="D5" s="19" t="s">
        <v>48</v>
      </c>
      <c r="E5" s="19" t="s">
        <v>47</v>
      </c>
      <c r="F5" s="19" t="s">
        <v>49</v>
      </c>
      <c r="G5" s="19" t="s">
        <v>49</v>
      </c>
      <c r="H5" s="19" t="s">
        <v>49</v>
      </c>
      <c r="I5" s="19" t="s">
        <v>49</v>
      </c>
      <c r="J5" s="19" t="s">
        <v>47</v>
      </c>
      <c r="K5" s="19" t="s">
        <v>48</v>
      </c>
      <c r="L5" s="19" t="s">
        <v>49</v>
      </c>
      <c r="M5" s="19" t="s">
        <v>49</v>
      </c>
      <c r="N5" s="19" t="s">
        <v>47</v>
      </c>
      <c r="O5" s="19" t="s">
        <v>47</v>
      </c>
      <c r="P5" s="19" t="s">
        <v>49</v>
      </c>
      <c r="Q5" s="19" t="s">
        <v>50</v>
      </c>
      <c r="R5" s="19" t="s">
        <v>50</v>
      </c>
      <c r="S5" s="19" t="s">
        <v>50</v>
      </c>
    </row>
    <row r="6" spans="1:19" x14ac:dyDescent="0.3">
      <c r="A6" s="21" t="s">
        <v>51</v>
      </c>
      <c r="B6" s="20">
        <v>9</v>
      </c>
      <c r="C6" s="20">
        <v>76</v>
      </c>
      <c r="D6" s="20">
        <v>0</v>
      </c>
      <c r="E6" s="20">
        <v>3</v>
      </c>
      <c r="F6" s="20">
        <v>47</v>
      </c>
      <c r="G6" s="20">
        <v>27</v>
      </c>
      <c r="H6" s="20">
        <v>5</v>
      </c>
      <c r="I6" s="20">
        <v>2</v>
      </c>
      <c r="J6" s="20">
        <v>4</v>
      </c>
      <c r="K6" s="20">
        <v>39</v>
      </c>
      <c r="L6" s="20">
        <v>4</v>
      </c>
      <c r="M6" s="20">
        <v>31</v>
      </c>
      <c r="N6" s="20">
        <v>52</v>
      </c>
      <c r="O6" s="20">
        <v>21</v>
      </c>
      <c r="P6" s="20">
        <v>2</v>
      </c>
      <c r="Q6" s="20">
        <v>2</v>
      </c>
      <c r="R6" s="20">
        <v>4</v>
      </c>
      <c r="S6" s="20">
        <v>1</v>
      </c>
    </row>
    <row r="8" spans="1:19" x14ac:dyDescent="0.3">
      <c r="B8" s="43" t="s">
        <v>104</v>
      </c>
      <c r="C8" s="48" t="s">
        <v>105</v>
      </c>
      <c r="D8" s="48"/>
      <c r="E8" s="48"/>
      <c r="F8" s="49"/>
      <c r="H8" s="21" t="s">
        <v>53</v>
      </c>
      <c r="I8" s="21" t="s">
        <v>54</v>
      </c>
      <c r="J8" s="21" t="s">
        <v>46</v>
      </c>
      <c r="K8" s="21" t="s">
        <v>51</v>
      </c>
      <c r="L8" s="21" t="s">
        <v>77</v>
      </c>
    </row>
    <row r="9" spans="1:19" ht="14.4" customHeight="1" x14ac:dyDescent="0.3">
      <c r="B9" s="44"/>
      <c r="C9" s="50"/>
      <c r="D9" s="50"/>
      <c r="E9" s="50"/>
      <c r="F9" s="51"/>
      <c r="H9" s="21" t="s">
        <v>70</v>
      </c>
      <c r="I9" s="17" t="str">
        <f>HLOOKUP($H9,$B$2:$S$6,3,FALSE)</f>
        <v>India</v>
      </c>
      <c r="J9" s="17" t="str">
        <f>HLOOKUP($H9,$B$2:$S$6,4,FALSE)</f>
        <v>All-Rounder</v>
      </c>
      <c r="K9" s="17">
        <f>HLOOKUP($H9,$B$2:$S$6,5,FALSE)</f>
        <v>2</v>
      </c>
      <c r="L9" s="17">
        <f>ROW()-1</f>
        <v>8</v>
      </c>
    </row>
    <row r="10" spans="1:19" x14ac:dyDescent="0.3">
      <c r="B10" s="45"/>
      <c r="C10" s="52"/>
      <c r="D10" s="52"/>
      <c r="E10" s="52"/>
      <c r="F10" s="53"/>
      <c r="H10" s="21" t="s">
        <v>69</v>
      </c>
      <c r="I10" s="17" t="str">
        <f t="shared" ref="I10:I14" si="1">HLOOKUP($H10,$B$2:$S$6,3,FALSE)</f>
        <v>India</v>
      </c>
      <c r="J10" s="17" t="str">
        <f t="shared" ref="J10:J14" si="2">HLOOKUP($H10,$B$2:$S$6,4,FALSE)</f>
        <v>All-Rounder</v>
      </c>
      <c r="K10" s="17">
        <f t="shared" ref="K10:K14" si="3">HLOOKUP($H10,$B$2:$S$6,5,FALSE)</f>
        <v>5</v>
      </c>
      <c r="L10" s="17">
        <f t="shared" ref="L10:L14" si="4">ROW()-1</f>
        <v>9</v>
      </c>
    </row>
    <row r="11" spans="1:19" x14ac:dyDescent="0.3">
      <c r="H11" s="21" t="s">
        <v>67</v>
      </c>
      <c r="I11" s="17" t="str">
        <f t="shared" si="1"/>
        <v>India</v>
      </c>
      <c r="J11" s="17" t="str">
        <f t="shared" si="2"/>
        <v>All-Rounder</v>
      </c>
      <c r="K11" s="17">
        <f t="shared" si="3"/>
        <v>47</v>
      </c>
      <c r="L11" s="17">
        <f t="shared" si="4"/>
        <v>10</v>
      </c>
    </row>
    <row r="12" spans="1:19" x14ac:dyDescent="0.3">
      <c r="H12" s="21" t="s">
        <v>71</v>
      </c>
      <c r="I12" s="17" t="str">
        <f t="shared" si="1"/>
        <v>South Africa</v>
      </c>
      <c r="J12" s="17" t="str">
        <f t="shared" si="2"/>
        <v>Batsman</v>
      </c>
      <c r="K12" s="17">
        <f t="shared" si="3"/>
        <v>4</v>
      </c>
      <c r="L12" s="17">
        <f t="shared" si="4"/>
        <v>11</v>
      </c>
    </row>
    <row r="13" spans="1:19" x14ac:dyDescent="0.3">
      <c r="B13" s="14" t="s">
        <v>62</v>
      </c>
      <c r="C13" s="14" t="s">
        <v>59</v>
      </c>
      <c r="D13" s="23" t="s">
        <v>60</v>
      </c>
      <c r="E13" s="14" t="s">
        <v>98</v>
      </c>
      <c r="F13" s="14" t="s">
        <v>61</v>
      </c>
      <c r="G13" s="3"/>
      <c r="H13" s="21" t="s">
        <v>75</v>
      </c>
      <c r="I13" s="17" t="str">
        <f t="shared" si="1"/>
        <v>South Africa</v>
      </c>
      <c r="J13" s="17" t="str">
        <f t="shared" si="2"/>
        <v>Batsman</v>
      </c>
      <c r="K13" s="17">
        <f t="shared" si="3"/>
        <v>21</v>
      </c>
      <c r="L13" s="17">
        <f t="shared" si="4"/>
        <v>12</v>
      </c>
    </row>
    <row r="14" spans="1:19" x14ac:dyDescent="0.3">
      <c r="B14" s="10" t="s">
        <v>91</v>
      </c>
      <c r="C14" s="47" t="s">
        <v>90</v>
      </c>
      <c r="D14" s="46" t="s">
        <v>92</v>
      </c>
      <c r="G14" s="3"/>
      <c r="H14" s="21" t="s">
        <v>93</v>
      </c>
      <c r="I14" s="17" t="e">
        <f t="shared" si="1"/>
        <v>#N/A</v>
      </c>
      <c r="J14" s="17" t="e">
        <f t="shared" si="2"/>
        <v>#N/A</v>
      </c>
      <c r="K14" s="17" t="e">
        <f t="shared" si="3"/>
        <v>#N/A</v>
      </c>
      <c r="L14" s="17">
        <f t="shared" si="4"/>
        <v>13</v>
      </c>
    </row>
    <row r="15" spans="1:19" x14ac:dyDescent="0.3">
      <c r="B15" s="10" t="s">
        <v>76</v>
      </c>
      <c r="C15" s="47"/>
      <c r="D15" s="46"/>
    </row>
    <row r="16" spans="1:19" s="10" customFormat="1" x14ac:dyDescent="0.3">
      <c r="A16" s="1"/>
      <c r="B16" s="26"/>
      <c r="C16" s="10" t="s">
        <v>76</v>
      </c>
      <c r="D16" s="22" t="s">
        <v>76</v>
      </c>
      <c r="E16" s="1"/>
      <c r="F16" s="26"/>
      <c r="G16"/>
      <c r="H16"/>
      <c r="I16" s="10" t="str">
        <f ca="1">_xlfn.FORMULATEXT(I9)</f>
        <v>=HLOOKUP($H9,$B$2:$S$6,3,FALSE)</v>
      </c>
      <c r="J16"/>
      <c r="K16"/>
      <c r="L16"/>
      <c r="M16"/>
      <c r="N16"/>
    </row>
    <row r="17" spans="2:7" x14ac:dyDescent="0.3">
      <c r="B17" s="26"/>
      <c r="C17" s="10" t="s">
        <v>95</v>
      </c>
      <c r="D17" s="22" t="s">
        <v>96</v>
      </c>
      <c r="F17" s="26"/>
    </row>
    <row r="18" spans="2:7" ht="57.6" x14ac:dyDescent="0.3">
      <c r="C18" s="26" t="s">
        <v>121</v>
      </c>
    </row>
    <row r="22" spans="2:7" x14ac:dyDescent="0.3">
      <c r="G22" s="2"/>
    </row>
    <row r="23" spans="2:7" x14ac:dyDescent="0.3">
      <c r="G23" s="3"/>
    </row>
    <row r="24" spans="2:7" x14ac:dyDescent="0.3">
      <c r="G24" s="3"/>
    </row>
    <row r="25" spans="2:7" x14ac:dyDescent="0.3">
      <c r="G25" s="3"/>
    </row>
    <row r="26" spans="2:7" x14ac:dyDescent="0.3">
      <c r="G26" s="3"/>
    </row>
    <row r="27" spans="2:7" x14ac:dyDescent="0.3">
      <c r="G27" s="3"/>
    </row>
    <row r="28" spans="2:7" x14ac:dyDescent="0.3">
      <c r="G28" s="3"/>
    </row>
  </sheetData>
  <mergeCells count="4">
    <mergeCell ref="C14:C15"/>
    <mergeCell ref="D14:D15"/>
    <mergeCell ref="B8:B10"/>
    <mergeCell ref="C8:F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1A44-166F-45FD-B90F-539BF486FA1F}">
  <sheetPr codeName="Sheet10">
    <tabColor theme="8"/>
  </sheetPr>
  <dimension ref="A1:V39"/>
  <sheetViews>
    <sheetView topLeftCell="J12" zoomScale="115" zoomScaleNormal="115" workbookViewId="0">
      <selection activeCell="W27" sqref="W27"/>
    </sheetView>
  </sheetViews>
  <sheetFormatPr defaultRowHeight="14.4" x14ac:dyDescent="0.3"/>
  <cols>
    <col min="1" max="1" width="8.88671875" style="1"/>
    <col min="2" max="2" width="16.44140625" bestFit="1" customWidth="1"/>
    <col min="3" max="3" width="16.44140625" customWidth="1"/>
    <col min="4" max="4" width="16.44140625" style="1" customWidth="1"/>
    <col min="5" max="5" width="14.44140625" style="1" customWidth="1"/>
    <col min="6" max="6" width="10.77734375" customWidth="1"/>
    <col min="7" max="7" width="9.33203125" customWidth="1"/>
    <col min="8" max="8" width="15.44140625" bestFit="1" customWidth="1"/>
    <col min="9" max="9" width="12.6640625" customWidth="1"/>
    <col min="10" max="10" width="23.44140625" customWidth="1"/>
    <col min="11" max="11" width="13.33203125" bestFit="1" customWidth="1"/>
    <col min="12" max="12" width="13.88671875" customWidth="1"/>
    <col min="14" max="14" width="10.88671875" customWidth="1"/>
    <col min="18" max="18" width="13.6640625" customWidth="1"/>
    <col min="19" max="19" width="11.88671875" customWidth="1"/>
    <col min="20" max="20" width="13" customWidth="1"/>
  </cols>
  <sheetData>
    <row r="1" spans="1:15" s="10" customFormat="1" ht="13.8" x14ac:dyDescent="0.3">
      <c r="A1" s="21" t="s">
        <v>77</v>
      </c>
      <c r="B1" s="21" t="s">
        <v>53</v>
      </c>
      <c r="C1" s="21" t="s">
        <v>57</v>
      </c>
      <c r="D1" s="21" t="s">
        <v>54</v>
      </c>
      <c r="E1" s="21" t="s">
        <v>46</v>
      </c>
      <c r="F1" s="21" t="s">
        <v>51</v>
      </c>
    </row>
    <row r="2" spans="1:15" ht="14.4" customHeight="1" x14ac:dyDescent="0.3">
      <c r="A2" s="17">
        <v>1</v>
      </c>
      <c r="B2" s="18" t="s">
        <v>64</v>
      </c>
      <c r="C2" s="17" t="str">
        <f t="shared" ref="C2:C9" si="0">LEFT(B2,2) &amp; A2 &amp; LEFT(E2,2)</f>
        <v>Ro1Ba</v>
      </c>
      <c r="D2" s="17" t="s">
        <v>55</v>
      </c>
      <c r="E2" s="19" t="s">
        <v>47</v>
      </c>
      <c r="F2" s="20">
        <v>9</v>
      </c>
      <c r="H2" s="54" t="s">
        <v>94</v>
      </c>
      <c r="I2" s="37" t="s">
        <v>110</v>
      </c>
      <c r="J2" s="37"/>
      <c r="K2" s="37"/>
      <c r="L2" s="37"/>
      <c r="M2" s="38"/>
      <c r="N2" s="10"/>
      <c r="O2" s="10"/>
    </row>
    <row r="3" spans="1:15" ht="14.4" customHeight="1" x14ac:dyDescent="0.3">
      <c r="A3" s="17">
        <v>2</v>
      </c>
      <c r="B3" s="18" t="s">
        <v>63</v>
      </c>
      <c r="C3" s="17" t="str">
        <f t="shared" si="0"/>
        <v>Vi2Ba</v>
      </c>
      <c r="D3" s="17" t="s">
        <v>55</v>
      </c>
      <c r="E3" s="19" t="s">
        <v>47</v>
      </c>
      <c r="F3" s="20">
        <v>76</v>
      </c>
      <c r="H3" s="55"/>
      <c r="I3" s="39"/>
      <c r="J3" s="39"/>
      <c r="K3" s="39"/>
      <c r="L3" s="39"/>
      <c r="M3" s="40"/>
      <c r="N3" s="10"/>
      <c r="O3" s="10"/>
    </row>
    <row r="4" spans="1:15" ht="14.4" customHeight="1" x14ac:dyDescent="0.3">
      <c r="A4" s="17">
        <v>3</v>
      </c>
      <c r="B4" s="18" t="s">
        <v>65</v>
      </c>
      <c r="C4" s="17" t="str">
        <f t="shared" si="0"/>
        <v>Ri3Wi</v>
      </c>
      <c r="D4" s="17" t="s">
        <v>55</v>
      </c>
      <c r="E4" s="19" t="s">
        <v>48</v>
      </c>
      <c r="F4" s="20">
        <v>0</v>
      </c>
      <c r="H4" s="55" t="s">
        <v>97</v>
      </c>
      <c r="I4" s="39" t="s">
        <v>111</v>
      </c>
      <c r="J4" s="39"/>
      <c r="K4" s="39"/>
      <c r="L4" s="39"/>
      <c r="M4" s="40"/>
      <c r="N4" s="10"/>
      <c r="O4" s="10"/>
    </row>
    <row r="5" spans="1:15" ht="14.4" customHeight="1" x14ac:dyDescent="0.3">
      <c r="A5" s="17">
        <v>4</v>
      </c>
      <c r="B5" s="18" t="s">
        <v>66</v>
      </c>
      <c r="C5" s="17" t="str">
        <f t="shared" si="0"/>
        <v>Su4Ba</v>
      </c>
      <c r="D5" s="17" t="s">
        <v>55</v>
      </c>
      <c r="E5" s="19" t="s">
        <v>47</v>
      </c>
      <c r="F5" s="20">
        <v>3</v>
      </c>
      <c r="H5" s="56"/>
      <c r="I5" s="41"/>
      <c r="J5" s="41"/>
      <c r="K5" s="41"/>
      <c r="L5" s="41"/>
      <c r="M5" s="42"/>
      <c r="N5" s="10"/>
      <c r="O5" s="10"/>
    </row>
    <row r="6" spans="1:15" x14ac:dyDescent="0.3">
      <c r="A6" s="17">
        <v>5</v>
      </c>
      <c r="B6" s="18" t="s">
        <v>67</v>
      </c>
      <c r="C6" s="17" t="str">
        <f t="shared" si="0"/>
        <v>Ax5Al</v>
      </c>
      <c r="D6" s="17" t="s">
        <v>55</v>
      </c>
      <c r="E6" s="19" t="s">
        <v>49</v>
      </c>
      <c r="F6" s="20">
        <v>47</v>
      </c>
      <c r="H6" s="10"/>
      <c r="I6" s="10"/>
      <c r="J6" s="10"/>
      <c r="K6" s="10"/>
      <c r="L6" s="10"/>
      <c r="M6" s="10"/>
      <c r="N6" s="10"/>
      <c r="O6" s="10"/>
    </row>
    <row r="7" spans="1:15" x14ac:dyDescent="0.3">
      <c r="A7" s="17">
        <v>6</v>
      </c>
      <c r="B7" s="18" t="s">
        <v>68</v>
      </c>
      <c r="C7" s="17" t="str">
        <f t="shared" si="0"/>
        <v>Sh6Al</v>
      </c>
      <c r="D7" s="17" t="s">
        <v>55</v>
      </c>
      <c r="E7" s="19" t="s">
        <v>49</v>
      </c>
      <c r="F7" s="20">
        <v>27</v>
      </c>
      <c r="H7" s="14" t="s">
        <v>62</v>
      </c>
      <c r="I7" s="14" t="s">
        <v>59</v>
      </c>
      <c r="J7" s="14" t="s">
        <v>60</v>
      </c>
      <c r="K7" s="23" t="s">
        <v>98</v>
      </c>
      <c r="L7" s="14" t="s">
        <v>61</v>
      </c>
    </row>
    <row r="8" spans="1:15" x14ac:dyDescent="0.3">
      <c r="A8" s="17">
        <v>7</v>
      </c>
      <c r="B8" s="18" t="s">
        <v>69</v>
      </c>
      <c r="C8" s="17" t="str">
        <f t="shared" si="0"/>
        <v>Ha7Al</v>
      </c>
      <c r="D8" s="17" t="s">
        <v>55</v>
      </c>
      <c r="E8" s="19" t="s">
        <v>49</v>
      </c>
      <c r="F8" s="20">
        <v>5</v>
      </c>
      <c r="H8" s="10" t="s">
        <v>91</v>
      </c>
      <c r="I8" s="47" t="s">
        <v>90</v>
      </c>
      <c r="J8" s="47" t="s">
        <v>92</v>
      </c>
      <c r="K8" s="22" t="s">
        <v>76</v>
      </c>
      <c r="L8" t="s">
        <v>122</v>
      </c>
      <c r="N8" s="24"/>
    </row>
    <row r="9" spans="1:15" x14ac:dyDescent="0.3">
      <c r="A9" s="17">
        <v>8</v>
      </c>
      <c r="B9" s="18" t="s">
        <v>70</v>
      </c>
      <c r="C9" s="17" t="str">
        <f t="shared" si="0"/>
        <v>Ra8Al</v>
      </c>
      <c r="D9" s="17" t="s">
        <v>55</v>
      </c>
      <c r="E9" s="19" t="s">
        <v>49</v>
      </c>
      <c r="F9" s="20">
        <v>2</v>
      </c>
      <c r="H9" s="10" t="s">
        <v>76</v>
      </c>
      <c r="I9" s="47"/>
      <c r="J9" s="47"/>
      <c r="K9" s="1"/>
      <c r="N9" s="24"/>
    </row>
    <row r="10" spans="1:15" x14ac:dyDescent="0.3">
      <c r="A10" s="17">
        <v>9</v>
      </c>
      <c r="B10" s="18" t="s">
        <v>58</v>
      </c>
      <c r="C10" s="17"/>
      <c r="D10" s="17"/>
      <c r="E10" s="19"/>
      <c r="F10" s="20">
        <v>7</v>
      </c>
      <c r="H10" s="26"/>
      <c r="I10" s="10" t="s">
        <v>76</v>
      </c>
      <c r="J10" s="10" t="s">
        <v>76</v>
      </c>
      <c r="K10" s="1"/>
      <c r="L10" s="26"/>
    </row>
    <row r="11" spans="1:15" x14ac:dyDescent="0.3">
      <c r="A11" s="17">
        <v>1</v>
      </c>
      <c r="B11" s="18" t="s">
        <v>71</v>
      </c>
      <c r="C11" s="17" t="str">
        <f t="shared" ref="C11:C20" si="1">LEFT(B11,2) &amp; A11 &amp; LEFT(E11,2)</f>
        <v>Re1Ba</v>
      </c>
      <c r="D11" s="17" t="s">
        <v>56</v>
      </c>
      <c r="E11" s="19" t="s">
        <v>47</v>
      </c>
      <c r="F11" s="20">
        <v>4</v>
      </c>
      <c r="H11" s="29"/>
      <c r="I11" s="10" t="s">
        <v>95</v>
      </c>
      <c r="J11" s="10" t="s">
        <v>96</v>
      </c>
      <c r="K11" s="1"/>
      <c r="L11" s="26"/>
    </row>
    <row r="12" spans="1:15" x14ac:dyDescent="0.3">
      <c r="A12" s="17">
        <v>2</v>
      </c>
      <c r="B12" s="18" t="s">
        <v>72</v>
      </c>
      <c r="C12" s="17" t="str">
        <f t="shared" si="1"/>
        <v>Qu2Wi</v>
      </c>
      <c r="D12" s="17" t="s">
        <v>56</v>
      </c>
      <c r="E12" s="19" t="s">
        <v>48</v>
      </c>
      <c r="F12" s="20">
        <v>39</v>
      </c>
      <c r="I12" s="26"/>
      <c r="J12" s="26"/>
    </row>
    <row r="13" spans="1:15" x14ac:dyDescent="0.3">
      <c r="A13" s="17">
        <v>3</v>
      </c>
      <c r="B13" s="18" t="s">
        <v>33</v>
      </c>
      <c r="C13" s="17" t="str">
        <f t="shared" si="1"/>
        <v>Ai3Al</v>
      </c>
      <c r="D13" s="17" t="s">
        <v>56</v>
      </c>
      <c r="E13" s="19" t="s">
        <v>49</v>
      </c>
      <c r="F13" s="20">
        <v>4</v>
      </c>
    </row>
    <row r="14" spans="1:15" x14ac:dyDescent="0.3">
      <c r="A14" s="17">
        <v>4</v>
      </c>
      <c r="B14" s="18" t="s">
        <v>73</v>
      </c>
      <c r="C14" s="17" t="str">
        <f t="shared" si="1"/>
        <v>Tr4Al</v>
      </c>
      <c r="D14" s="17" t="s">
        <v>56</v>
      </c>
      <c r="E14" s="19" t="s">
        <v>49</v>
      </c>
      <c r="F14" s="20">
        <v>31</v>
      </c>
      <c r="H14" s="21" t="s">
        <v>53</v>
      </c>
      <c r="I14" s="21" t="s">
        <v>54</v>
      </c>
      <c r="J14" s="21" t="s">
        <v>46</v>
      </c>
      <c r="K14" s="21" t="s">
        <v>51</v>
      </c>
      <c r="L14" s="21" t="s">
        <v>77</v>
      </c>
    </row>
    <row r="15" spans="1:15" ht="16.8" x14ac:dyDescent="0.4">
      <c r="A15" s="17">
        <v>5</v>
      </c>
      <c r="B15" s="18" t="s">
        <v>74</v>
      </c>
      <c r="C15" s="17" t="str">
        <f t="shared" si="1"/>
        <v>He5Ba</v>
      </c>
      <c r="D15" s="17" t="s">
        <v>56</v>
      </c>
      <c r="E15" s="19" t="s">
        <v>47</v>
      </c>
      <c r="F15" s="20">
        <v>52</v>
      </c>
      <c r="H15" s="21" t="s">
        <v>70</v>
      </c>
      <c r="I15" s="35" t="str">
        <f>INDEX($A$1:$F$21,MATCH($H15,$B$1:$B$21,0),MATCH(I$14,$A$1:$F$1,0))</f>
        <v>India</v>
      </c>
      <c r="J15" s="35" t="str">
        <f>INDEX($A$1:$F$21,MATCH($H15,$B$1:$B$21,0),MATCH(J$14,$A$1:$F$1,0))</f>
        <v>All-Rounder</v>
      </c>
      <c r="K15" s="35">
        <f>INDEX($A$1:$F$21,MATCH($H15,$B$1:$B$21,0),MATCH(K$14,$A$1:$F$1,0))</f>
        <v>2</v>
      </c>
      <c r="L15" s="35">
        <f t="shared" ref="K15:L20" si="2">INDEX($A$1:$F$21,MATCH($H15,$B$1:$B$21,0),MATCH(L$14,$A$1:$F$1,0))</f>
        <v>8</v>
      </c>
    </row>
    <row r="16" spans="1:15" ht="16.8" x14ac:dyDescent="0.4">
      <c r="A16" s="17">
        <v>6</v>
      </c>
      <c r="B16" s="18" t="s">
        <v>75</v>
      </c>
      <c r="C16" s="17" t="str">
        <f t="shared" si="1"/>
        <v>Da6Ba</v>
      </c>
      <c r="D16" s="17" t="s">
        <v>56</v>
      </c>
      <c r="E16" s="19" t="s">
        <v>47</v>
      </c>
      <c r="F16" s="20">
        <v>21</v>
      </c>
      <c r="H16" s="21" t="s">
        <v>69</v>
      </c>
      <c r="I16" s="35" t="str">
        <f t="shared" ref="I16:J20" si="3">INDEX($A$1:$F$21,MATCH($H16,$B$1:$B$21,0),MATCH(I$14,$A$1:$F$1,0))</f>
        <v>India</v>
      </c>
      <c r="J16" s="35" t="str">
        <f>INDEX($A$1:$F$21,MATCH($H16,$B$1:$B$21,0),MATCH(J$14,$A$1:$F$1,0))</f>
        <v>All-Rounder</v>
      </c>
      <c r="K16" s="35">
        <f t="shared" si="2"/>
        <v>5</v>
      </c>
      <c r="L16" s="35">
        <f t="shared" si="2"/>
        <v>7</v>
      </c>
      <c r="O16" t="s">
        <v>130</v>
      </c>
    </row>
    <row r="17" spans="1:22" ht="16.8" x14ac:dyDescent="0.4">
      <c r="A17" s="17">
        <v>7</v>
      </c>
      <c r="B17" s="18" t="s">
        <v>30</v>
      </c>
      <c r="C17" s="17" t="str">
        <f t="shared" si="1"/>
        <v>Ma7Al</v>
      </c>
      <c r="D17" s="17" t="s">
        <v>56</v>
      </c>
      <c r="E17" s="19" t="s">
        <v>49</v>
      </c>
      <c r="F17" s="20">
        <v>2</v>
      </c>
      <c r="H17" s="21" t="s">
        <v>67</v>
      </c>
      <c r="I17" s="35" t="str">
        <f>INDEX($A$1:$F$21,MATCH($H17,$B$1:$B$21,0),MATCH(I$14,$A$1:$F$1,0))</f>
        <v>India</v>
      </c>
      <c r="J17" s="35" t="str">
        <f t="shared" si="3"/>
        <v>All-Rounder</v>
      </c>
      <c r="K17" s="35">
        <f t="shared" si="2"/>
        <v>47</v>
      </c>
      <c r="L17" s="35">
        <f t="shared" si="2"/>
        <v>5</v>
      </c>
      <c r="O17" t="s">
        <v>131</v>
      </c>
    </row>
    <row r="18" spans="1:22" ht="16.8" x14ac:dyDescent="0.4">
      <c r="A18" s="17">
        <v>8</v>
      </c>
      <c r="B18" s="18" t="s">
        <v>31</v>
      </c>
      <c r="C18" s="17" t="str">
        <f t="shared" si="1"/>
        <v>Ke8Bo</v>
      </c>
      <c r="D18" s="17" t="s">
        <v>56</v>
      </c>
      <c r="E18" s="19" t="s">
        <v>50</v>
      </c>
      <c r="F18" s="20">
        <v>2</v>
      </c>
      <c r="H18" s="21" t="s">
        <v>71</v>
      </c>
      <c r="I18" s="35" t="str">
        <f t="shared" si="3"/>
        <v>South Africa</v>
      </c>
      <c r="J18" s="35" t="str">
        <f t="shared" si="3"/>
        <v>Batsman</v>
      </c>
      <c r="K18" s="35">
        <f t="shared" si="2"/>
        <v>4</v>
      </c>
      <c r="L18" s="35">
        <f t="shared" si="2"/>
        <v>1</v>
      </c>
    </row>
    <row r="19" spans="1:22" ht="16.8" x14ac:dyDescent="0.4">
      <c r="A19" s="17">
        <v>9</v>
      </c>
      <c r="B19" s="18" t="s">
        <v>32</v>
      </c>
      <c r="C19" s="17" t="str">
        <f t="shared" si="1"/>
        <v>Ka9Bo</v>
      </c>
      <c r="D19" s="17" t="s">
        <v>56</v>
      </c>
      <c r="E19" s="19" t="s">
        <v>50</v>
      </c>
      <c r="F19" s="20">
        <v>4</v>
      </c>
      <c r="H19" s="21" t="s">
        <v>75</v>
      </c>
      <c r="I19" s="35" t="str">
        <f t="shared" si="3"/>
        <v>South Africa</v>
      </c>
      <c r="J19" s="35" t="str">
        <f t="shared" si="3"/>
        <v>Batsman</v>
      </c>
      <c r="K19" s="35">
        <f t="shared" si="2"/>
        <v>21</v>
      </c>
      <c r="L19" s="35">
        <f t="shared" si="2"/>
        <v>6</v>
      </c>
    </row>
    <row r="20" spans="1:22" ht="16.8" x14ac:dyDescent="0.4">
      <c r="A20" s="17">
        <v>10</v>
      </c>
      <c r="B20" s="18" t="s">
        <v>34</v>
      </c>
      <c r="C20" s="17" t="str">
        <f t="shared" si="1"/>
        <v>An10Bo</v>
      </c>
      <c r="D20" s="17" t="s">
        <v>56</v>
      </c>
      <c r="E20" s="19" t="s">
        <v>50</v>
      </c>
      <c r="F20" s="20">
        <v>1</v>
      </c>
      <c r="H20" s="21" t="s">
        <v>93</v>
      </c>
      <c r="I20" s="35" t="e">
        <f t="shared" si="3"/>
        <v>#N/A</v>
      </c>
      <c r="J20" s="35" t="e">
        <f t="shared" si="3"/>
        <v>#N/A</v>
      </c>
      <c r="K20" s="35" t="e">
        <f t="shared" si="2"/>
        <v>#N/A</v>
      </c>
      <c r="L20" s="35" t="e">
        <f t="shared" si="2"/>
        <v>#N/A</v>
      </c>
      <c r="R20" s="61"/>
    </row>
    <row r="21" spans="1:22" ht="16.8" x14ac:dyDescent="0.4">
      <c r="A21" s="17">
        <v>11</v>
      </c>
      <c r="B21" s="18" t="s">
        <v>58</v>
      </c>
      <c r="C21" s="17"/>
      <c r="D21" s="17"/>
      <c r="E21" s="19"/>
      <c r="F21" s="20">
        <v>9</v>
      </c>
      <c r="I21" s="35" t="s">
        <v>127</v>
      </c>
    </row>
    <row r="22" spans="1:22" x14ac:dyDescent="0.3">
      <c r="I22" t="str">
        <f ca="1">_xlfn.FORMULATEXT(I15)</f>
        <v>=INDEX($A$1:$F$21,MATCH($H15,$B$1:$B$21,0),MATCH(I$14,$A$1:$F$1,0))</v>
      </c>
    </row>
    <row r="23" spans="1:22" x14ac:dyDescent="0.3">
      <c r="B23" s="4"/>
      <c r="C23" s="4"/>
      <c r="D23" s="4"/>
      <c r="E23" s="4"/>
      <c r="F23" s="2"/>
      <c r="G23" s="2"/>
      <c r="H23" s="27" t="s">
        <v>97</v>
      </c>
      <c r="R23" s="57" t="s">
        <v>53</v>
      </c>
      <c r="S23" s="58" t="s">
        <v>54</v>
      </c>
      <c r="T23" s="58" t="s">
        <v>46</v>
      </c>
      <c r="U23" s="58" t="s">
        <v>51</v>
      </c>
      <c r="V23" s="58" t="s">
        <v>77</v>
      </c>
    </row>
    <row r="24" spans="1:22" ht="16.8" x14ac:dyDescent="0.4">
      <c r="A24" s="32" t="s">
        <v>77</v>
      </c>
      <c r="B24" s="33" t="s">
        <v>53</v>
      </c>
      <c r="C24" s="33" t="s">
        <v>57</v>
      </c>
      <c r="D24" s="33" t="s">
        <v>54</v>
      </c>
      <c r="E24" s="33" t="s">
        <v>46</v>
      </c>
      <c r="F24" s="34" t="s">
        <v>51</v>
      </c>
      <c r="G24" s="3"/>
      <c r="H24" s="25" t="s">
        <v>70</v>
      </c>
      <c r="I24" s="15">
        <f>MATCH(H24,B1:B21,0)</f>
        <v>9</v>
      </c>
      <c r="K24" s="21" t="s">
        <v>54</v>
      </c>
      <c r="L24" s="21" t="s">
        <v>46</v>
      </c>
      <c r="M24" s="21" t="s">
        <v>51</v>
      </c>
      <c r="N24" s="21" t="s">
        <v>77</v>
      </c>
      <c r="R24" s="59"/>
      <c r="S24" s="62"/>
      <c r="T24" s="62"/>
      <c r="U24" s="62"/>
      <c r="V24" s="62"/>
    </row>
    <row r="25" spans="1:22" ht="16.8" x14ac:dyDescent="0.4">
      <c r="A25" s="1" cm="1">
        <f t="array" ref="A25">INDEX($A$2:$F$21,(ROW(A1)*2)-1,COLUMN(A1))</f>
        <v>1</v>
      </c>
      <c r="B25" s="5" t="str" cm="1">
        <f t="array" ref="B25">INDEX($A$2:$F$21,(ROW(A1)*2)-1,COLUMN(B1))</f>
        <v>Rohit Sharma</v>
      </c>
      <c r="C25" s="5" t="str" cm="1">
        <f t="array" ref="C25">INDEX($A$2:$F$21,(ROW(A1)*2)-1,COLUMN(C1))</f>
        <v>Ro1Ba</v>
      </c>
      <c r="D25" s="12" t="str" cm="1">
        <f t="array" ref="D25">INDEX($A$2:$F$21,(ROW(A1)*2)-1,COLUMN(D1))</f>
        <v>India</v>
      </c>
      <c r="E25" s="12" t="str" cm="1">
        <f t="array" ref="E25">INDEX($A$2:$F$21,(ROW(A1)*2)-1,COLUMN(E1))</f>
        <v>Batsman</v>
      </c>
      <c r="F25" s="3" cm="1">
        <f t="array" ref="F25">INDEX($A$2:$F$21,(ROW(A1)*2)-1,COLUMN(F1))</f>
        <v>9</v>
      </c>
      <c r="G25" s="3"/>
      <c r="H25" s="25" t="s">
        <v>69</v>
      </c>
      <c r="I25" s="15">
        <f>MATCH(H25,B2:B22,0)</f>
        <v>7</v>
      </c>
      <c r="K25" s="15">
        <f>MATCH(K24,A1:F1,0)</f>
        <v>4</v>
      </c>
      <c r="L25" s="15">
        <f>MATCH(L24,B1:G1,0)</f>
        <v>4</v>
      </c>
      <c r="M25" s="15">
        <f>MATCH(M24,C1:H1,0)</f>
        <v>4</v>
      </c>
      <c r="N25" s="15" t="e">
        <f>MATCH(N24,D1:H1,0)</f>
        <v>#N/A</v>
      </c>
      <c r="R25" s="57" t="s">
        <v>70</v>
      </c>
      <c r="S25" s="62" t="str">
        <f>INDEX($A$1:$F$21,MATCH($R25,$B$1:$B$21,0),MATCH(S$23,$A$1:$F$1,0))</f>
        <v>India</v>
      </c>
      <c r="T25" s="62" t="str">
        <f>INDEX($A$1:$F$21,MATCH($R25,$B$1:$B$21,0),MATCH(T$23,$A$1:$F$1,0))</f>
        <v>All-Rounder</v>
      </c>
      <c r="U25" s="62">
        <f>INDEX($A$1:$F$21,MATCH($R25,$B$1:$B$21,0),MATCH(U$23,$A$1:$F$1,0))</f>
        <v>2</v>
      </c>
      <c r="V25" s="62">
        <f>INDEX($A$1:$F$21,MATCH($R25,$B$1:$B$21,0),MATCH(V$23,$A$1:$F$1,0))</f>
        <v>8</v>
      </c>
    </row>
    <row r="26" spans="1:22" ht="16.8" x14ac:dyDescent="0.4">
      <c r="A26" s="1" cm="1">
        <f t="array" ref="A26">INDEX($A$2:$F$21,(ROW(A2)*2)-1,COLUMN(A2))</f>
        <v>3</v>
      </c>
      <c r="B26" s="5" t="str" cm="1">
        <f t="array" ref="B26">INDEX($A$2:$F$21,(ROW(A2)*2)-1,COLUMN(B2))</f>
        <v>Rishabh Pant</v>
      </c>
      <c r="C26" s="5" t="str" cm="1">
        <f t="array" ref="C26">INDEX($A$2:$F$21,(ROW(A2)*2)-1,COLUMN(C2))</f>
        <v>Ri3Wi</v>
      </c>
      <c r="D26" s="12" t="str" cm="1">
        <f t="array" ref="D26">INDEX($A$2:$F$21,(ROW(A2)*2)-1,COLUMN(D2))</f>
        <v>India</v>
      </c>
      <c r="E26" s="12" t="str" cm="1">
        <f t="array" ref="E26">INDEX($A$2:$F$21,(ROW(A2)*2)-1,COLUMN(E2))</f>
        <v>WicketKeeper</v>
      </c>
      <c r="F26" s="3" cm="1">
        <f t="array" ref="F26">INDEX($A$2:$F$21,(ROW(A2)*2)-1,COLUMN(F2))</f>
        <v>0</v>
      </c>
      <c r="G26" s="3"/>
      <c r="H26" s="25" t="s">
        <v>67</v>
      </c>
      <c r="I26" s="15">
        <f>MATCH(H26,B3:B23,0)</f>
        <v>4</v>
      </c>
      <c r="R26" s="59" t="s">
        <v>69</v>
      </c>
      <c r="S26" s="62" t="str">
        <f t="shared" ref="S26:V30" si="4">INDEX($A$1:$F$21,MATCH($R26,$B$1:$B$21,0),MATCH(S$23,$A$1:$F$1,0))</f>
        <v>India</v>
      </c>
      <c r="T26" s="62" t="str">
        <f t="shared" si="4"/>
        <v>All-Rounder</v>
      </c>
      <c r="U26" s="62">
        <f t="shared" si="4"/>
        <v>5</v>
      </c>
      <c r="V26" s="62">
        <f t="shared" si="4"/>
        <v>7</v>
      </c>
    </row>
    <row r="27" spans="1:22" ht="14.4" customHeight="1" x14ac:dyDescent="0.4">
      <c r="A27" s="1" cm="1">
        <f t="array" ref="A27">INDEX($A$2:$F$21,(ROW(A3)*2)-1,COLUMN(A3))</f>
        <v>5</v>
      </c>
      <c r="B27" s="5" t="str" cm="1">
        <f t="array" ref="B27">INDEX($A$2:$F$21,(ROW(A3)*2)-1,COLUMN(B3))</f>
        <v>Axar Patel</v>
      </c>
      <c r="C27" s="5" t="str" cm="1">
        <f t="array" ref="C27">INDEX($A$2:$F$21,(ROW(A3)*2)-1,COLUMN(C3))</f>
        <v>Ax5Al</v>
      </c>
      <c r="D27" s="12" t="str" cm="1">
        <f t="array" ref="D27">INDEX($A$2:$F$21,(ROW(A3)*2)-1,COLUMN(D3))</f>
        <v>India</v>
      </c>
      <c r="E27" s="12" t="str" cm="1">
        <f t="array" ref="E27">INDEX($A$2:$F$21,(ROW(A3)*2)-1,COLUMN(E3))</f>
        <v>All-Rounder</v>
      </c>
      <c r="F27" s="3" cm="1">
        <f t="array" ref="F27">INDEX($A$2:$F$21,(ROW(A3)*2)-1,COLUMN(F3))</f>
        <v>47</v>
      </c>
      <c r="G27" s="3"/>
      <c r="H27" s="25" t="s">
        <v>71</v>
      </c>
      <c r="I27" s="15">
        <f>MATCH(H27,B4:B24,0)</f>
        <v>8</v>
      </c>
      <c r="K27">
        <f>MATCH(K24,A1:F1,0)</f>
        <v>4</v>
      </c>
      <c r="R27" s="59" t="s">
        <v>67</v>
      </c>
      <c r="S27" s="62" t="str">
        <f t="shared" si="4"/>
        <v>India</v>
      </c>
      <c r="T27" s="62" t="str">
        <f t="shared" si="4"/>
        <v>All-Rounder</v>
      </c>
      <c r="U27" s="62">
        <f t="shared" si="4"/>
        <v>47</v>
      </c>
      <c r="V27" s="62">
        <f t="shared" si="4"/>
        <v>5</v>
      </c>
    </row>
    <row r="28" spans="1:22" ht="16.8" x14ac:dyDescent="0.4">
      <c r="A28" s="1" cm="1">
        <f t="array" ref="A28">INDEX($A$2:$F$21,(ROW(A4)*2)-1,COLUMN(A4))</f>
        <v>7</v>
      </c>
      <c r="B28" s="5" t="str" cm="1">
        <f t="array" ref="B28">INDEX($A$2:$F$21,(ROW(A4)*2)-1,COLUMN(B4))</f>
        <v>Hardik Pandya</v>
      </c>
      <c r="C28" s="5" t="str" cm="1">
        <f t="array" ref="C28">INDEX($A$2:$F$21,(ROW(A4)*2)-1,COLUMN(C4))</f>
        <v>Ha7Al</v>
      </c>
      <c r="D28" s="12" t="str" cm="1">
        <f t="array" ref="D28">INDEX($A$2:$F$21,(ROW(A4)*2)-1,COLUMN(D4))</f>
        <v>India</v>
      </c>
      <c r="E28" s="12" t="str" cm="1">
        <f t="array" ref="E28">INDEX($A$2:$F$21,(ROW(A4)*2)-1,COLUMN(E4))</f>
        <v>All-Rounder</v>
      </c>
      <c r="F28" s="3" cm="1">
        <f t="array" ref="F28">INDEX($A$2:$F$21,(ROW(A4)*2)-1,COLUMN(F4))</f>
        <v>5</v>
      </c>
      <c r="G28" s="3"/>
      <c r="H28" s="25" t="s">
        <v>75</v>
      </c>
      <c r="I28" s="15">
        <f>MATCH(H28,B5:B25,0)</f>
        <v>12</v>
      </c>
      <c r="R28" s="59" t="s">
        <v>71</v>
      </c>
      <c r="S28" s="62" t="str">
        <f t="shared" si="4"/>
        <v>South Africa</v>
      </c>
      <c r="T28" s="62" t="str">
        <f t="shared" si="4"/>
        <v>Batsman</v>
      </c>
      <c r="U28" s="62">
        <f t="shared" si="4"/>
        <v>4</v>
      </c>
      <c r="V28" s="62">
        <f t="shared" si="4"/>
        <v>1</v>
      </c>
    </row>
    <row r="29" spans="1:22" ht="14.4" customHeight="1" x14ac:dyDescent="0.4">
      <c r="A29" s="1" cm="1">
        <f t="array" ref="A29">INDEX($A$2:$F$21,(ROW(A5)*2)-1,COLUMN(A5))</f>
        <v>9</v>
      </c>
      <c r="B29" s="5" t="str" cm="1">
        <f t="array" ref="B29">INDEX($A$2:$F$21,(ROW(A5)*2)-1,COLUMN(B5))</f>
        <v>Extras</v>
      </c>
      <c r="C29" s="5" cm="1">
        <f t="array" ref="C29">INDEX($A$2:$F$21,(ROW(A5)*2)-1,COLUMN(C5))</f>
        <v>0</v>
      </c>
      <c r="D29" s="12" cm="1">
        <f t="array" ref="D29">INDEX($A$2:$F$21,(ROW(A5)*2)-1,COLUMN(D5))</f>
        <v>0</v>
      </c>
      <c r="E29" s="12" cm="1">
        <f t="array" ref="E29">INDEX($A$2:$F$21,(ROW(A5)*2)-1,COLUMN(E5))</f>
        <v>0</v>
      </c>
      <c r="F29" s="3" cm="1">
        <f t="array" ref="F29">INDEX($A$2:$F$21,(ROW(A5)*2)-1,COLUMN(F5))</f>
        <v>7</v>
      </c>
      <c r="G29" s="3"/>
      <c r="H29" s="25" t="s">
        <v>93</v>
      </c>
      <c r="I29" s="15" t="e">
        <f>MATCH(H29,B6:B26,0)</f>
        <v>#N/A</v>
      </c>
      <c r="R29" s="59" t="s">
        <v>75</v>
      </c>
      <c r="S29" s="62" t="str">
        <f t="shared" si="4"/>
        <v>South Africa</v>
      </c>
      <c r="T29" s="62" t="str">
        <f t="shared" si="4"/>
        <v>Batsman</v>
      </c>
      <c r="U29" s="62">
        <f t="shared" si="4"/>
        <v>21</v>
      </c>
      <c r="V29" s="62">
        <f t="shared" si="4"/>
        <v>6</v>
      </c>
    </row>
    <row r="30" spans="1:22" ht="16.8" x14ac:dyDescent="0.4">
      <c r="A30" s="1" cm="1">
        <f t="array" ref="A30">INDEX($A$2:$F$21,(ROW(A6)*2)-1,COLUMN(A6))</f>
        <v>2</v>
      </c>
      <c r="B30" s="5" t="str" cm="1">
        <f t="array" ref="B30">INDEX($A$2:$F$21,(ROW(A6)*2)-1,COLUMN(B6))</f>
        <v>Quinton de Kock</v>
      </c>
      <c r="C30" s="5" t="str" cm="1">
        <f t="array" ref="C30">INDEX($A$2:$F$21,(ROW(A6)*2)-1,COLUMN(C6))</f>
        <v>Qu2Wi</v>
      </c>
      <c r="D30" s="12" t="str" cm="1">
        <f t="array" ref="D30">INDEX($A$2:$F$21,(ROW(A6)*2)-1,COLUMN(D6))</f>
        <v>South Africa</v>
      </c>
      <c r="E30" s="12" t="str" cm="1">
        <f t="array" ref="E30">INDEX($A$2:$F$21,(ROW(A6)*2)-1,COLUMN(E6))</f>
        <v>WicketKeeper</v>
      </c>
      <c r="F30" s="3" cm="1">
        <f t="array" ref="F30">INDEX($A$2:$F$21,(ROW(A6)*2)-1,COLUMN(F6))</f>
        <v>39</v>
      </c>
      <c r="R30" s="59" t="s">
        <v>93</v>
      </c>
      <c r="S30" s="62" t="e">
        <f t="shared" si="4"/>
        <v>#N/A</v>
      </c>
      <c r="T30" s="62" t="e">
        <f t="shared" si="4"/>
        <v>#N/A</v>
      </c>
      <c r="U30" s="62" t="e">
        <f t="shared" si="4"/>
        <v>#N/A</v>
      </c>
      <c r="V30" s="62" t="e">
        <f t="shared" si="4"/>
        <v>#N/A</v>
      </c>
    </row>
    <row r="31" spans="1:22" x14ac:dyDescent="0.3">
      <c r="A31" s="1" cm="1">
        <f t="array" ref="A31">INDEX($A$2:$F$21,(ROW(A7)*2)-1,COLUMN(A7))</f>
        <v>4</v>
      </c>
      <c r="B31" s="5" t="str" cm="1">
        <f t="array" ref="B31">INDEX($A$2:$F$21,(ROW(A7)*2)-1,COLUMN(B7))</f>
        <v>Tristan Stubbs</v>
      </c>
      <c r="C31" s="5" t="str" cm="1">
        <f t="array" ref="C31">INDEX($A$2:$F$21,(ROW(A7)*2)-1,COLUMN(C7))</f>
        <v>Tr4Al</v>
      </c>
      <c r="D31" s="12" t="str" cm="1">
        <f t="array" ref="D31">INDEX($A$2:$F$21,(ROW(A7)*2)-1,COLUMN(D7))</f>
        <v>South Africa</v>
      </c>
      <c r="E31" s="12" t="str" cm="1">
        <f t="array" ref="E31">INDEX($A$2:$F$21,(ROW(A7)*2)-1,COLUMN(E7))</f>
        <v>All-Rounder</v>
      </c>
      <c r="F31" s="3" cm="1">
        <f t="array" ref="F31">INDEX($A$2:$F$21,(ROW(A7)*2)-1,COLUMN(F7))</f>
        <v>31</v>
      </c>
      <c r="I31" t="str">
        <f ca="1">_xlfn.FORMULATEXT(I24)</f>
        <v>=MATCH(H24,B1:B21,0)</v>
      </c>
    </row>
    <row r="32" spans="1:22" x14ac:dyDescent="0.3">
      <c r="A32" s="1" cm="1">
        <f t="array" ref="A32">INDEX($A$2:$F$21,(ROW(A8)*2)-1,COLUMN(A8))</f>
        <v>6</v>
      </c>
      <c r="B32" s="5" t="str" cm="1">
        <f t="array" ref="B32">INDEX($A$2:$F$21,(ROW(A8)*2)-1,COLUMN(B8))</f>
        <v>David Miller</v>
      </c>
      <c r="C32" s="5" t="str" cm="1">
        <f t="array" ref="C32">INDEX($A$2:$F$21,(ROW(A8)*2)-1,COLUMN(C8))</f>
        <v>Da6Ba</v>
      </c>
      <c r="D32" s="12" t="str" cm="1">
        <f t="array" ref="D32">INDEX($A$2:$F$21,(ROW(A8)*2)-1,COLUMN(D8))</f>
        <v>South Africa</v>
      </c>
      <c r="E32" s="12" t="str" cm="1">
        <f t="array" ref="E32">INDEX($A$2:$F$21,(ROW(A8)*2)-1,COLUMN(E8))</f>
        <v>Batsman</v>
      </c>
      <c r="F32" s="3" cm="1">
        <f t="array" ref="F32">INDEX($A$2:$F$21,(ROW(A8)*2)-1,COLUMN(F8))</f>
        <v>21</v>
      </c>
    </row>
    <row r="33" spans="1:12" x14ac:dyDescent="0.3">
      <c r="A33" s="1" cm="1">
        <f t="array" ref="A33">INDEX($A$2:$F$21,(ROW(A9)*2)-1,COLUMN(A9))</f>
        <v>8</v>
      </c>
      <c r="B33" s="5" t="str" cm="1">
        <f t="array" ref="B33">INDEX($A$2:$F$21,(ROW(A9)*2)-1,COLUMN(B9))</f>
        <v>Keshav Maharaj</v>
      </c>
      <c r="C33" s="5" t="str" cm="1">
        <f t="array" ref="C33">INDEX($A$2:$F$21,(ROW(A9)*2)-1,COLUMN(C9))</f>
        <v>Ke8Bo</v>
      </c>
      <c r="D33" s="12" t="str" cm="1">
        <f t="array" ref="D33">INDEX($A$2:$F$21,(ROW(A9)*2)-1,COLUMN(D9))</f>
        <v>South Africa</v>
      </c>
      <c r="E33" s="12" t="str" cm="1">
        <f t="array" ref="E33">INDEX($A$2:$F$21,(ROW(A9)*2)-1,COLUMN(E9))</f>
        <v>Bowler</v>
      </c>
      <c r="F33" s="3" cm="1">
        <f t="array" ref="F33">INDEX($A$2:$F$21,(ROW(A9)*2)-1,COLUMN(F9))</f>
        <v>2</v>
      </c>
    </row>
    <row r="34" spans="1:12" x14ac:dyDescent="0.3">
      <c r="A34" s="1" cm="1">
        <f t="array" ref="A34">INDEX($A$2:$F$21,(ROW(A10)*2)-1,COLUMN(A10))</f>
        <v>10</v>
      </c>
      <c r="B34" s="5" t="str" cm="1">
        <f t="array" ref="B34">INDEX($A$2:$F$21,(ROW(A10)*2)-1,COLUMN(B10))</f>
        <v>Anrich Nortje</v>
      </c>
      <c r="C34" s="5" t="str" cm="1">
        <f t="array" ref="C34">INDEX($A$2:$F$21,(ROW(A10)*2)-1,COLUMN(C10))</f>
        <v>An10Bo</v>
      </c>
      <c r="D34" s="12" t="str" cm="1">
        <f t="array" ref="D34">INDEX($A$2:$F$21,(ROW(A10)*2)-1,COLUMN(D10))</f>
        <v>South Africa</v>
      </c>
      <c r="E34" s="12" t="str" cm="1">
        <f t="array" ref="E34">INDEX($A$2:$F$21,(ROW(A10)*2)-1,COLUMN(E10))</f>
        <v>Bowler</v>
      </c>
      <c r="F34" s="3" cm="1">
        <f t="array" ref="F34">INDEX($A$2:$F$21,(ROW(A10)*2)-1,COLUMN(F10))</f>
        <v>1</v>
      </c>
    </row>
    <row r="36" spans="1:12" x14ac:dyDescent="0.3">
      <c r="H36" s="31" t="s">
        <v>0</v>
      </c>
      <c r="I36" s="31" t="s">
        <v>1</v>
      </c>
      <c r="J36" s="31"/>
      <c r="K36" s="31" t="s">
        <v>3</v>
      </c>
      <c r="L36" s="31" t="s">
        <v>4</v>
      </c>
    </row>
    <row r="37" spans="1:12" x14ac:dyDescent="0.3">
      <c r="D37" s="1" t="s">
        <v>128</v>
      </c>
      <c r="H37" s="30">
        <v>1</v>
      </c>
      <c r="I37" s="30">
        <v>2</v>
      </c>
      <c r="J37" s="30"/>
      <c r="K37" s="30">
        <v>7</v>
      </c>
      <c r="L37" s="30">
        <v>8</v>
      </c>
    </row>
    <row r="38" spans="1:12" x14ac:dyDescent="0.3">
      <c r="C38" t="s">
        <v>129</v>
      </c>
      <c r="H38" s="30">
        <v>3</v>
      </c>
      <c r="I38" s="30">
        <v>4</v>
      </c>
      <c r="J38" s="30"/>
      <c r="K38" s="30">
        <v>9</v>
      </c>
      <c r="L38" s="30">
        <v>10</v>
      </c>
    </row>
    <row r="39" spans="1:12" x14ac:dyDescent="0.3">
      <c r="H39" s="30">
        <v>5</v>
      </c>
      <c r="I39" s="30">
        <v>6</v>
      </c>
      <c r="J39" s="30"/>
      <c r="K39" s="30">
        <v>11</v>
      </c>
      <c r="L39" s="30">
        <v>12</v>
      </c>
    </row>
  </sheetData>
  <mergeCells count="6">
    <mergeCell ref="H2:H3"/>
    <mergeCell ref="I2:M3"/>
    <mergeCell ref="H4:H5"/>
    <mergeCell ref="I4:M5"/>
    <mergeCell ref="I8:I9"/>
    <mergeCell ref="J8:J9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AE89-F7A9-4F74-B38A-FEE1AA318B87}">
  <sheetPr codeName="Sheet9">
    <tabColor theme="8"/>
  </sheetPr>
  <dimension ref="A1:M29"/>
  <sheetViews>
    <sheetView zoomScale="115" zoomScaleNormal="115" workbookViewId="0">
      <selection activeCell="J16" sqref="J16:J21"/>
    </sheetView>
  </sheetViews>
  <sheetFormatPr defaultRowHeight="14.4" x14ac:dyDescent="0.3"/>
  <cols>
    <col min="1" max="1" width="8.88671875" style="1"/>
    <col min="2" max="2" width="16.44140625" bestFit="1" customWidth="1"/>
    <col min="3" max="3" width="16.44140625" customWidth="1"/>
    <col min="4" max="4" width="16.44140625" style="1" customWidth="1"/>
    <col min="5" max="5" width="14.44140625" style="1" customWidth="1"/>
    <col min="6" max="6" width="10.77734375" customWidth="1"/>
    <col min="8" max="8" width="15.44140625" bestFit="1" customWidth="1"/>
    <col min="9" max="9" width="12.6640625" customWidth="1"/>
    <col min="10" max="10" width="11.88671875" customWidth="1"/>
    <col min="11" max="11" width="13" customWidth="1"/>
    <col min="12" max="12" width="13.88671875" customWidth="1"/>
  </cols>
  <sheetData>
    <row r="1" spans="1:13" s="10" customFormat="1" x14ac:dyDescent="0.3">
      <c r="A1" s="21" t="s">
        <v>77</v>
      </c>
      <c r="B1" s="21" t="s">
        <v>53</v>
      </c>
      <c r="C1" s="21" t="s">
        <v>57</v>
      </c>
      <c r="D1" s="21" t="s">
        <v>54</v>
      </c>
      <c r="E1" s="21" t="s">
        <v>46</v>
      </c>
      <c r="F1" s="21" t="s">
        <v>51</v>
      </c>
      <c r="H1"/>
      <c r="I1"/>
      <c r="J1"/>
      <c r="K1"/>
      <c r="L1"/>
    </row>
    <row r="2" spans="1:13" x14ac:dyDescent="0.3">
      <c r="A2" s="17">
        <v>1</v>
      </c>
      <c r="B2" s="18" t="s">
        <v>64</v>
      </c>
      <c r="C2" s="17" t="str">
        <f t="shared" ref="C2:C9" si="0">LEFT(B2,2) &amp; A2 &amp; LEFT(E2,2)</f>
        <v>Ro1Ba</v>
      </c>
      <c r="D2" s="17" t="s">
        <v>55</v>
      </c>
      <c r="E2" s="19" t="s">
        <v>47</v>
      </c>
      <c r="F2" s="20">
        <v>9</v>
      </c>
      <c r="H2" s="43" t="s">
        <v>106</v>
      </c>
      <c r="I2" s="37" t="s">
        <v>107</v>
      </c>
      <c r="J2" s="37"/>
      <c r="K2" s="37"/>
      <c r="L2" s="37"/>
      <c r="M2" s="38"/>
    </row>
    <row r="3" spans="1:13" x14ac:dyDescent="0.3">
      <c r="A3" s="17">
        <v>2</v>
      </c>
      <c r="B3" s="18" t="s">
        <v>63</v>
      </c>
      <c r="C3" s="17" t="str">
        <f t="shared" si="0"/>
        <v>Vi2Ba</v>
      </c>
      <c r="D3" s="17" t="s">
        <v>55</v>
      </c>
      <c r="E3" s="19" t="s">
        <v>47</v>
      </c>
      <c r="F3" s="20">
        <v>76</v>
      </c>
      <c r="H3" s="44"/>
      <c r="I3" s="39"/>
      <c r="J3" s="39"/>
      <c r="K3" s="39"/>
      <c r="L3" s="39"/>
      <c r="M3" s="40"/>
    </row>
    <row r="4" spans="1:13" x14ac:dyDescent="0.3">
      <c r="A4" s="17">
        <v>3</v>
      </c>
      <c r="B4" s="18" t="s">
        <v>65</v>
      </c>
      <c r="C4" s="17" t="str">
        <f t="shared" si="0"/>
        <v>Ri3Wi</v>
      </c>
      <c r="D4" s="17" t="s">
        <v>55</v>
      </c>
      <c r="E4" s="19" t="s">
        <v>48</v>
      </c>
      <c r="F4" s="20">
        <v>0</v>
      </c>
      <c r="H4" s="45"/>
      <c r="I4" s="41"/>
      <c r="J4" s="41"/>
      <c r="K4" s="41"/>
      <c r="L4" s="41"/>
      <c r="M4" s="42"/>
    </row>
    <row r="5" spans="1:13" x14ac:dyDescent="0.3">
      <c r="A5" s="17">
        <v>4</v>
      </c>
      <c r="B5" s="18" t="s">
        <v>66</v>
      </c>
      <c r="C5" s="17" t="str">
        <f t="shared" si="0"/>
        <v>Su4Ba</v>
      </c>
      <c r="D5" s="17" t="s">
        <v>55</v>
      </c>
      <c r="E5" s="19" t="s">
        <v>47</v>
      </c>
      <c r="F5" s="20">
        <v>3</v>
      </c>
    </row>
    <row r="6" spans="1:13" x14ac:dyDescent="0.3">
      <c r="A6" s="17">
        <v>5</v>
      </c>
      <c r="B6" s="18" t="s">
        <v>67</v>
      </c>
      <c r="C6" s="17" t="str">
        <f t="shared" si="0"/>
        <v>Ax5Al</v>
      </c>
      <c r="D6" s="17" t="s">
        <v>55</v>
      </c>
      <c r="E6" s="19" t="s">
        <v>49</v>
      </c>
      <c r="F6" s="20">
        <v>47</v>
      </c>
    </row>
    <row r="7" spans="1:13" x14ac:dyDescent="0.3">
      <c r="A7" s="17">
        <v>6</v>
      </c>
      <c r="B7" s="18" t="s">
        <v>68</v>
      </c>
      <c r="C7" s="17" t="str">
        <f t="shared" si="0"/>
        <v>Sh6Al</v>
      </c>
      <c r="D7" s="17" t="s">
        <v>55</v>
      </c>
      <c r="E7" s="19" t="s">
        <v>49</v>
      </c>
      <c r="F7" s="20">
        <v>27</v>
      </c>
      <c r="H7" s="10"/>
      <c r="I7" s="10"/>
      <c r="J7" s="10"/>
      <c r="K7" s="10"/>
      <c r="L7" s="10"/>
    </row>
    <row r="8" spans="1:13" x14ac:dyDescent="0.3">
      <c r="A8" s="17">
        <v>7</v>
      </c>
      <c r="B8" s="18" t="s">
        <v>69</v>
      </c>
      <c r="C8" s="17" t="str">
        <f t="shared" si="0"/>
        <v>Ha7Al</v>
      </c>
      <c r="D8" s="17" t="s">
        <v>55</v>
      </c>
      <c r="E8" s="19" t="s">
        <v>49</v>
      </c>
      <c r="F8" s="20">
        <v>5</v>
      </c>
      <c r="H8" s="14" t="s">
        <v>62</v>
      </c>
      <c r="I8" s="14" t="s">
        <v>59</v>
      </c>
      <c r="J8" s="14" t="s">
        <v>60</v>
      </c>
      <c r="K8" s="14" t="s">
        <v>98</v>
      </c>
      <c r="L8" s="23" t="s">
        <v>61</v>
      </c>
    </row>
    <row r="9" spans="1:13" x14ac:dyDescent="0.3">
      <c r="A9" s="17">
        <v>8</v>
      </c>
      <c r="B9" s="18" t="s">
        <v>70</v>
      </c>
      <c r="C9" s="17" t="str">
        <f t="shared" si="0"/>
        <v>Ra8Al</v>
      </c>
      <c r="D9" s="17" t="s">
        <v>55</v>
      </c>
      <c r="E9" s="19" t="s">
        <v>49</v>
      </c>
      <c r="F9" s="20">
        <v>2</v>
      </c>
      <c r="H9" s="10" t="s">
        <v>91</v>
      </c>
      <c r="I9" s="47" t="s">
        <v>90</v>
      </c>
      <c r="J9" s="47" t="s">
        <v>92</v>
      </c>
      <c r="K9" s="10" t="s">
        <v>76</v>
      </c>
      <c r="L9" s="22" t="s">
        <v>102</v>
      </c>
    </row>
    <row r="10" spans="1:13" x14ac:dyDescent="0.3">
      <c r="A10" s="17">
        <v>9</v>
      </c>
      <c r="B10" s="18" t="s">
        <v>58</v>
      </c>
      <c r="C10" s="17"/>
      <c r="D10" s="17"/>
      <c r="E10" s="19"/>
      <c r="F10" s="20">
        <v>7</v>
      </c>
      <c r="H10" s="10" t="s">
        <v>76</v>
      </c>
      <c r="I10" s="47"/>
      <c r="J10" s="47"/>
    </row>
    <row r="11" spans="1:13" x14ac:dyDescent="0.3">
      <c r="A11" s="17">
        <v>1</v>
      </c>
      <c r="B11" s="18" t="s">
        <v>71</v>
      </c>
      <c r="C11" s="17" t="str">
        <f t="shared" ref="C11:C20" si="1">LEFT(B11,2) &amp; A11 &amp; LEFT(E11,2)</f>
        <v>Re1Ba</v>
      </c>
      <c r="D11" s="17" t="s">
        <v>56</v>
      </c>
      <c r="E11" s="19" t="s">
        <v>47</v>
      </c>
      <c r="F11" s="20">
        <v>4</v>
      </c>
      <c r="H11" s="26"/>
      <c r="I11" s="10" t="s">
        <v>76</v>
      </c>
      <c r="J11" s="10" t="s">
        <v>76</v>
      </c>
    </row>
    <row r="12" spans="1:13" x14ac:dyDescent="0.3">
      <c r="A12" s="17">
        <v>2</v>
      </c>
      <c r="B12" s="18" t="s">
        <v>72</v>
      </c>
      <c r="C12" s="17" t="str">
        <f t="shared" si="1"/>
        <v>Qu2Wi</v>
      </c>
      <c r="D12" s="17" t="s">
        <v>56</v>
      </c>
      <c r="E12" s="19" t="s">
        <v>48</v>
      </c>
      <c r="F12" s="20">
        <v>39</v>
      </c>
      <c r="I12" s="10" t="s">
        <v>95</v>
      </c>
      <c r="J12" s="10" t="s">
        <v>96</v>
      </c>
    </row>
    <row r="13" spans="1:13" x14ac:dyDescent="0.3">
      <c r="A13" s="17">
        <v>3</v>
      </c>
      <c r="B13" s="18" t="s">
        <v>33</v>
      </c>
      <c r="C13" s="17" t="str">
        <f t="shared" si="1"/>
        <v>Ai3Al</v>
      </c>
      <c r="D13" s="17" t="s">
        <v>56</v>
      </c>
      <c r="E13" s="19" t="s">
        <v>49</v>
      </c>
      <c r="F13" s="20">
        <v>4</v>
      </c>
      <c r="I13" s="26"/>
      <c r="J13" s="26"/>
    </row>
    <row r="14" spans="1:13" x14ac:dyDescent="0.3">
      <c r="A14" s="17">
        <v>4</v>
      </c>
      <c r="B14" s="18" t="s">
        <v>73</v>
      </c>
      <c r="C14" s="17" t="str">
        <f t="shared" si="1"/>
        <v>Tr4Al</v>
      </c>
      <c r="D14" s="17" t="s">
        <v>56</v>
      </c>
      <c r="E14" s="19" t="s">
        <v>49</v>
      </c>
      <c r="F14" s="20">
        <v>31</v>
      </c>
    </row>
    <row r="15" spans="1:13" x14ac:dyDescent="0.3">
      <c r="A15" s="17">
        <v>5</v>
      </c>
      <c r="B15" s="18" t="s">
        <v>74</v>
      </c>
      <c r="C15" s="17" t="str">
        <f t="shared" si="1"/>
        <v>He5Ba</v>
      </c>
      <c r="D15" s="17" t="s">
        <v>56</v>
      </c>
      <c r="E15" s="19" t="s">
        <v>47</v>
      </c>
      <c r="F15" s="20">
        <v>52</v>
      </c>
      <c r="H15" s="21" t="s">
        <v>53</v>
      </c>
      <c r="I15" s="21" t="s">
        <v>54</v>
      </c>
      <c r="J15" s="21" t="s">
        <v>46</v>
      </c>
      <c r="K15" s="21" t="s">
        <v>51</v>
      </c>
      <c r="L15" s="21" t="s">
        <v>77</v>
      </c>
    </row>
    <row r="16" spans="1:13" x14ac:dyDescent="0.3">
      <c r="A16" s="17">
        <v>6</v>
      </c>
      <c r="B16" s="18" t="s">
        <v>75</v>
      </c>
      <c r="C16" s="17" t="str">
        <f t="shared" si="1"/>
        <v>Da6Ba</v>
      </c>
      <c r="D16" s="17" t="s">
        <v>56</v>
      </c>
      <c r="E16" s="19" t="s">
        <v>47</v>
      </c>
      <c r="F16" s="20">
        <v>21</v>
      </c>
      <c r="H16" s="21" t="s">
        <v>70</v>
      </c>
      <c r="I16" s="17" t="str">
        <f>_xlfn.XLOOKUP($H16,$B$2:$B$21,D$2:D$21,"Not Found",2)</f>
        <v>India</v>
      </c>
      <c r="J16" s="17" t="str">
        <f>_xlfn.XLOOKUP($H16,$B$2:$B$21,E$2:E$21,"Not Found",2)</f>
        <v>All-Rounder</v>
      </c>
      <c r="K16" s="17">
        <f>_xlfn.XLOOKUP($H16,$B$2:$B$21,F$2:F$21,"Not Found",2)</f>
        <v>2</v>
      </c>
      <c r="L16" s="17">
        <f>_xlfn.XLOOKUP($H16,$B$2:$B$21,A$2:A$21,"Not Found",2)</f>
        <v>8</v>
      </c>
    </row>
    <row r="17" spans="1:12" x14ac:dyDescent="0.3">
      <c r="A17" s="17">
        <v>7</v>
      </c>
      <c r="B17" s="18" t="s">
        <v>30</v>
      </c>
      <c r="C17" s="17" t="str">
        <f t="shared" si="1"/>
        <v>Ma7Al</v>
      </c>
      <c r="D17" s="17" t="s">
        <v>56</v>
      </c>
      <c r="E17" s="19" t="s">
        <v>49</v>
      </c>
      <c r="F17" s="20">
        <v>2</v>
      </c>
      <c r="H17" s="21" t="s">
        <v>69</v>
      </c>
      <c r="I17" s="17" t="str">
        <f t="shared" ref="I17:I21" si="2">_xlfn.XLOOKUP($H17,$B$2:$B$21,D$2:D$21,"Not Found",2)</f>
        <v>India</v>
      </c>
      <c r="J17" s="17" t="str">
        <f t="shared" ref="J17:J21" si="3">_xlfn.XLOOKUP($H17,$B$2:$B$21,E$2:E$21,"Not Found",2)</f>
        <v>All-Rounder</v>
      </c>
      <c r="K17" s="17">
        <f t="shared" ref="K17:K21" si="4">_xlfn.XLOOKUP($H17,$B$2:$B$21,F$2:F$21,"Not Found",2)</f>
        <v>5</v>
      </c>
      <c r="L17" s="17">
        <f t="shared" ref="L17:L21" si="5">_xlfn.XLOOKUP($H17,$B$2:$B$21,A$2:A$21,"Not Found",2)</f>
        <v>7</v>
      </c>
    </row>
    <row r="18" spans="1:12" x14ac:dyDescent="0.3">
      <c r="A18" s="17">
        <v>8</v>
      </c>
      <c r="B18" s="18" t="s">
        <v>70</v>
      </c>
      <c r="C18" s="17" t="str">
        <f t="shared" si="1"/>
        <v>Ra8Bo</v>
      </c>
      <c r="D18" s="17" t="s">
        <v>56</v>
      </c>
      <c r="E18" s="19" t="s">
        <v>50</v>
      </c>
      <c r="F18" s="20">
        <v>2</v>
      </c>
      <c r="H18" s="21" t="s">
        <v>67</v>
      </c>
      <c r="I18" s="17" t="str">
        <f t="shared" si="2"/>
        <v>India</v>
      </c>
      <c r="J18" s="17" t="str">
        <f t="shared" si="3"/>
        <v>All-Rounder</v>
      </c>
      <c r="K18" s="17">
        <f t="shared" si="4"/>
        <v>47</v>
      </c>
      <c r="L18" s="17">
        <f t="shared" si="5"/>
        <v>5</v>
      </c>
    </row>
    <row r="19" spans="1:12" x14ac:dyDescent="0.3">
      <c r="A19" s="17">
        <v>9</v>
      </c>
      <c r="B19" s="18" t="s">
        <v>32</v>
      </c>
      <c r="C19" s="17" t="str">
        <f t="shared" si="1"/>
        <v>Ka9Bo</v>
      </c>
      <c r="D19" s="17" t="s">
        <v>56</v>
      </c>
      <c r="E19" s="19" t="s">
        <v>50</v>
      </c>
      <c r="F19" s="20">
        <v>4</v>
      </c>
      <c r="H19" s="21" t="s">
        <v>71</v>
      </c>
      <c r="I19" s="17" t="str">
        <f t="shared" si="2"/>
        <v>South Africa</v>
      </c>
      <c r="J19" s="17" t="str">
        <f t="shared" si="3"/>
        <v>Batsman</v>
      </c>
      <c r="K19" s="17">
        <f t="shared" si="4"/>
        <v>4</v>
      </c>
      <c r="L19" s="17">
        <f t="shared" si="5"/>
        <v>1</v>
      </c>
    </row>
    <row r="20" spans="1:12" x14ac:dyDescent="0.3">
      <c r="A20" s="17">
        <v>10</v>
      </c>
      <c r="B20" s="18" t="s">
        <v>34</v>
      </c>
      <c r="C20" s="17" t="str">
        <f t="shared" si="1"/>
        <v>An10Bo</v>
      </c>
      <c r="D20" s="17" t="s">
        <v>56</v>
      </c>
      <c r="E20" s="19" t="s">
        <v>50</v>
      </c>
      <c r="F20" s="20">
        <v>1</v>
      </c>
      <c r="H20" s="21" t="s">
        <v>75</v>
      </c>
      <c r="I20" s="17" t="str">
        <f t="shared" si="2"/>
        <v>South Africa</v>
      </c>
      <c r="J20" s="17" t="str">
        <f t="shared" si="3"/>
        <v>Batsman</v>
      </c>
      <c r="K20" s="17">
        <f t="shared" si="4"/>
        <v>21</v>
      </c>
      <c r="L20" s="17">
        <f t="shared" si="5"/>
        <v>6</v>
      </c>
    </row>
    <row r="21" spans="1:12" x14ac:dyDescent="0.3">
      <c r="A21" s="17">
        <v>11</v>
      </c>
      <c r="B21" s="18" t="s">
        <v>58</v>
      </c>
      <c r="C21" s="17"/>
      <c r="D21" s="17"/>
      <c r="E21" s="19"/>
      <c r="F21" s="20">
        <v>9</v>
      </c>
      <c r="H21" s="21" t="s">
        <v>93</v>
      </c>
      <c r="I21" s="17" t="str">
        <f t="shared" si="2"/>
        <v>Not Found</v>
      </c>
      <c r="J21" s="17" t="str">
        <f t="shared" si="3"/>
        <v>Not Found</v>
      </c>
      <c r="K21" s="17" t="str">
        <f t="shared" si="4"/>
        <v>Not Found</v>
      </c>
      <c r="L21" s="17" t="str">
        <f t="shared" si="5"/>
        <v>Not Found</v>
      </c>
    </row>
    <row r="23" spans="1:12" x14ac:dyDescent="0.3">
      <c r="B23" s="4"/>
      <c r="C23" s="4"/>
      <c r="D23" s="4"/>
      <c r="E23" s="4"/>
      <c r="F23" s="2"/>
      <c r="G23" s="2"/>
      <c r="I23" s="10" t="str">
        <f ca="1">_xlfn.FORMULATEXT(I16)</f>
        <v>=XLOOKUP($H16,$B$2:$B$21,D$2:D$21,"Not Found",2)</v>
      </c>
    </row>
    <row r="24" spans="1:12" x14ac:dyDescent="0.3">
      <c r="B24" s="5"/>
      <c r="C24" s="5"/>
      <c r="D24" s="12"/>
      <c r="E24" s="12"/>
      <c r="F24" s="3"/>
      <c r="G24" s="3"/>
      <c r="H24" t="str">
        <f ca="1">_xlfn.FORMULATEXT(I16)</f>
        <v>=XLOOKUP($H16,$B$2:$B$21,D$2:D$21,"Not Found",2)</v>
      </c>
    </row>
    <row r="25" spans="1:12" x14ac:dyDescent="0.3">
      <c r="B25" s="5"/>
      <c r="C25" s="5"/>
      <c r="D25" s="12"/>
      <c r="E25" s="12"/>
      <c r="F25" s="3"/>
      <c r="G25" s="3"/>
      <c r="H25" t="s">
        <v>125</v>
      </c>
    </row>
    <row r="26" spans="1:12" x14ac:dyDescent="0.3">
      <c r="B26" s="5"/>
      <c r="C26" s="5"/>
      <c r="D26" s="12"/>
      <c r="E26" s="12"/>
      <c r="F26" s="3"/>
      <c r="G26" s="3"/>
    </row>
    <row r="27" spans="1:12" x14ac:dyDescent="0.3">
      <c r="B27" s="5"/>
      <c r="C27" s="5"/>
      <c r="D27" s="12"/>
      <c r="E27" s="12"/>
      <c r="F27" s="3"/>
      <c r="G27" s="3"/>
    </row>
    <row r="28" spans="1:12" x14ac:dyDescent="0.3">
      <c r="B28" s="5"/>
      <c r="C28" s="5"/>
      <c r="D28" s="12"/>
      <c r="E28" s="12"/>
      <c r="F28" s="3"/>
      <c r="G28" s="3"/>
    </row>
    <row r="29" spans="1:12" x14ac:dyDescent="0.3">
      <c r="B29" s="5"/>
      <c r="C29" s="5"/>
      <c r="D29" s="12"/>
      <c r="E29" s="12"/>
      <c r="F29" s="3"/>
      <c r="G29" s="3"/>
    </row>
  </sheetData>
  <mergeCells count="4">
    <mergeCell ref="I9:I10"/>
    <mergeCell ref="J9:J10"/>
    <mergeCell ref="H2:H4"/>
    <mergeCell ref="I2:M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FE81-6D82-43A5-A2ED-F5263E281141}">
  <sheetPr>
    <tabColor theme="8"/>
  </sheetPr>
  <dimension ref="A1:L29"/>
  <sheetViews>
    <sheetView topLeftCell="A18" zoomScale="115" zoomScaleNormal="115" workbookViewId="0">
      <selection activeCell="L17" sqref="L17:L22"/>
    </sheetView>
  </sheetViews>
  <sheetFormatPr defaultRowHeight="14.4" x14ac:dyDescent="0.3"/>
  <cols>
    <col min="1" max="1" width="8.88671875" style="1"/>
    <col min="2" max="2" width="16.44140625" bestFit="1" customWidth="1"/>
    <col min="3" max="3" width="16.44140625" customWidth="1"/>
    <col min="4" max="4" width="16.44140625" style="1" customWidth="1"/>
    <col min="5" max="5" width="14.44140625" style="1" customWidth="1"/>
    <col min="6" max="6" width="10.77734375" customWidth="1"/>
    <col min="8" max="8" width="15.44140625" bestFit="1" customWidth="1"/>
    <col min="9" max="9" width="15.44140625" customWidth="1"/>
    <col min="10" max="10" width="12.6640625" customWidth="1"/>
    <col min="11" max="11" width="11.88671875" customWidth="1"/>
    <col min="12" max="12" width="13" customWidth="1"/>
  </cols>
  <sheetData>
    <row r="1" spans="1:12" s="10" customFormat="1" x14ac:dyDescent="0.3">
      <c r="A1" s="21" t="s">
        <v>77</v>
      </c>
      <c r="B1" s="21" t="s">
        <v>53</v>
      </c>
      <c r="C1" s="21" t="s">
        <v>57</v>
      </c>
      <c r="D1" s="21" t="s">
        <v>54</v>
      </c>
      <c r="E1" s="21" t="s">
        <v>46</v>
      </c>
      <c r="F1" s="21" t="s">
        <v>51</v>
      </c>
      <c r="H1"/>
      <c r="I1"/>
      <c r="J1"/>
      <c r="K1"/>
      <c r="L1"/>
    </row>
    <row r="2" spans="1:12" x14ac:dyDescent="0.3">
      <c r="A2" s="17">
        <v>1</v>
      </c>
      <c r="B2" s="18" t="s">
        <v>64</v>
      </c>
      <c r="C2" s="17" t="str">
        <f t="shared" ref="C2:C9" si="0">LEFT(B2,2) &amp; A2 &amp; LEFT(E2,2)</f>
        <v>Ro1Ba</v>
      </c>
      <c r="D2" s="17" t="s">
        <v>55</v>
      </c>
      <c r="E2" s="19" t="s">
        <v>47</v>
      </c>
      <c r="F2" s="20">
        <v>9</v>
      </c>
      <c r="J2" s="26"/>
      <c r="K2" s="26"/>
    </row>
    <row r="3" spans="1:12" x14ac:dyDescent="0.3">
      <c r="A3" s="17">
        <v>2</v>
      </c>
      <c r="B3" s="18" t="s">
        <v>63</v>
      </c>
      <c r="C3" s="17" t="str">
        <f t="shared" si="0"/>
        <v>Vi2Ba</v>
      </c>
      <c r="D3" s="17" t="s">
        <v>55</v>
      </c>
      <c r="E3" s="19" t="s">
        <v>47</v>
      </c>
      <c r="F3" s="20">
        <v>76</v>
      </c>
    </row>
    <row r="4" spans="1:12" x14ac:dyDescent="0.3">
      <c r="A4" s="17">
        <v>3</v>
      </c>
      <c r="B4" s="18" t="s">
        <v>65</v>
      </c>
      <c r="C4" s="17" t="str">
        <f t="shared" si="0"/>
        <v>Ri3Wi</v>
      </c>
      <c r="D4" s="17" t="s">
        <v>55</v>
      </c>
      <c r="E4" s="19" t="s">
        <v>48</v>
      </c>
      <c r="F4" s="20">
        <v>0</v>
      </c>
      <c r="H4" s="21" t="s">
        <v>53</v>
      </c>
      <c r="I4" s="21" t="s">
        <v>57</v>
      </c>
      <c r="J4" s="21" t="s">
        <v>54</v>
      </c>
      <c r="K4" s="21" t="s">
        <v>46</v>
      </c>
      <c r="L4" s="21" t="s">
        <v>51</v>
      </c>
    </row>
    <row r="5" spans="1:12" x14ac:dyDescent="0.3">
      <c r="A5" s="17">
        <v>4</v>
      </c>
      <c r="B5" s="18" t="s">
        <v>66</v>
      </c>
      <c r="C5" s="17" t="str">
        <f t="shared" si="0"/>
        <v>Su4Ba</v>
      </c>
      <c r="D5" s="17" t="s">
        <v>55</v>
      </c>
      <c r="E5" s="19" t="s">
        <v>47</v>
      </c>
      <c r="F5" s="20">
        <v>3</v>
      </c>
      <c r="H5" s="21" t="s">
        <v>70</v>
      </c>
      <c r="I5" s="17" t="str">
        <f>VLOOKUP($H5,$B$2:$F$21,MATCH(I$4,$B$1:$F$1,0),FALSE)</f>
        <v>Ra8Al</v>
      </c>
      <c r="J5" s="17" t="str">
        <f>VLOOKUP($H5,$B$2:$F$21,MATCH(J$4,$B$1:$F$1,0),FALSE)</f>
        <v>India</v>
      </c>
      <c r="K5" s="17" t="str">
        <f t="shared" ref="J5:L10" si="1">VLOOKUP($H5,$B$2:$F$21,MATCH(K$4,$B$1:$F$1,0),FALSE)</f>
        <v>All-Rounder</v>
      </c>
      <c r="L5" s="17">
        <f t="shared" si="1"/>
        <v>2</v>
      </c>
    </row>
    <row r="6" spans="1:12" x14ac:dyDescent="0.3">
      <c r="A6" s="17">
        <v>5</v>
      </c>
      <c r="B6" s="18" t="s">
        <v>67</v>
      </c>
      <c r="C6" s="17" t="str">
        <f t="shared" si="0"/>
        <v>Ax5Al</v>
      </c>
      <c r="D6" s="17" t="s">
        <v>55</v>
      </c>
      <c r="E6" s="19" t="s">
        <v>49</v>
      </c>
      <c r="F6" s="20">
        <v>47</v>
      </c>
      <c r="H6" s="21" t="s">
        <v>69</v>
      </c>
      <c r="I6" s="17" t="str">
        <f t="shared" ref="I6:I10" si="2">VLOOKUP($H6,$B$2:$F$21,MATCH(I$4,$B$1:$F$1,0),FALSE)</f>
        <v>Ha7Al</v>
      </c>
      <c r="J6" s="17" t="str">
        <f>VLOOKUP($H6,$B$2:$F$21,MATCH(J$4,$B$1:$F$1,0),FALSE)</f>
        <v>India</v>
      </c>
      <c r="K6" s="17" t="str">
        <f t="shared" si="1"/>
        <v>All-Rounder</v>
      </c>
      <c r="L6" s="17">
        <f t="shared" si="1"/>
        <v>5</v>
      </c>
    </row>
    <row r="7" spans="1:12" x14ac:dyDescent="0.3">
      <c r="A7" s="17">
        <v>6</v>
      </c>
      <c r="B7" s="18" t="s">
        <v>68</v>
      </c>
      <c r="C7" s="17" t="str">
        <f t="shared" si="0"/>
        <v>Sh6Al</v>
      </c>
      <c r="D7" s="17" t="s">
        <v>55</v>
      </c>
      <c r="E7" s="19" t="s">
        <v>49</v>
      </c>
      <c r="F7" s="20">
        <v>27</v>
      </c>
      <c r="H7" s="21" t="s">
        <v>67</v>
      </c>
      <c r="I7" s="17" t="str">
        <f>VLOOKUP($H7,$B$2:$F$21,MATCH(I$4,$B$1:$F$1,0),FALSE)</f>
        <v>Ax5Al</v>
      </c>
      <c r="J7" s="17" t="str">
        <f t="shared" si="1"/>
        <v>India</v>
      </c>
      <c r="K7" s="17" t="str">
        <f t="shared" si="1"/>
        <v>All-Rounder</v>
      </c>
      <c r="L7" s="17">
        <f t="shared" si="1"/>
        <v>47</v>
      </c>
    </row>
    <row r="8" spans="1:12" x14ac:dyDescent="0.3">
      <c r="A8" s="17">
        <v>7</v>
      </c>
      <c r="B8" s="18" t="s">
        <v>69</v>
      </c>
      <c r="C8" s="17" t="str">
        <f t="shared" si="0"/>
        <v>Ha7Al</v>
      </c>
      <c r="D8" s="17" t="s">
        <v>55</v>
      </c>
      <c r="E8" s="19" t="s">
        <v>49</v>
      </c>
      <c r="F8" s="20">
        <v>5</v>
      </c>
      <c r="H8" s="21" t="s">
        <v>71</v>
      </c>
      <c r="I8" s="17" t="str">
        <f t="shared" si="2"/>
        <v>Re1Ba</v>
      </c>
      <c r="J8" s="17" t="str">
        <f t="shared" si="1"/>
        <v>South Africa</v>
      </c>
      <c r="K8" s="17" t="str">
        <f t="shared" si="1"/>
        <v>Batsman</v>
      </c>
      <c r="L8" s="17">
        <f t="shared" si="1"/>
        <v>4</v>
      </c>
    </row>
    <row r="9" spans="1:12" x14ac:dyDescent="0.3">
      <c r="A9" s="17">
        <v>8</v>
      </c>
      <c r="B9" s="18" t="s">
        <v>70</v>
      </c>
      <c r="C9" s="17" t="str">
        <f t="shared" si="0"/>
        <v>Ra8Al</v>
      </c>
      <c r="D9" s="17" t="s">
        <v>55</v>
      </c>
      <c r="E9" s="19" t="s">
        <v>49</v>
      </c>
      <c r="F9" s="20">
        <v>2</v>
      </c>
      <c r="H9" s="21" t="s">
        <v>75</v>
      </c>
      <c r="I9" s="17" t="str">
        <f t="shared" si="2"/>
        <v>Da6Ba</v>
      </c>
      <c r="J9" s="17" t="str">
        <f t="shared" si="1"/>
        <v>South Africa</v>
      </c>
      <c r="K9" s="17" t="str">
        <f t="shared" si="1"/>
        <v>Batsman</v>
      </c>
      <c r="L9" s="17">
        <f t="shared" si="1"/>
        <v>21</v>
      </c>
    </row>
    <row r="10" spans="1:12" x14ac:dyDescent="0.3">
      <c r="A10" s="17">
        <v>9</v>
      </c>
      <c r="B10" s="18" t="s">
        <v>58</v>
      </c>
      <c r="C10" s="17"/>
      <c r="D10" s="17"/>
      <c r="E10" s="19"/>
      <c r="F10" s="20">
        <v>7</v>
      </c>
      <c r="H10" s="21" t="s">
        <v>93</v>
      </c>
      <c r="I10" s="17" t="e">
        <f t="shared" si="2"/>
        <v>#N/A</v>
      </c>
      <c r="J10" s="17" t="e">
        <f t="shared" si="1"/>
        <v>#N/A</v>
      </c>
      <c r="K10" s="17" t="e">
        <f t="shared" si="1"/>
        <v>#N/A</v>
      </c>
      <c r="L10" s="17" t="e">
        <f t="shared" si="1"/>
        <v>#N/A</v>
      </c>
    </row>
    <row r="11" spans="1:12" x14ac:dyDescent="0.3">
      <c r="A11" s="17">
        <v>1</v>
      </c>
      <c r="B11" s="18" t="s">
        <v>71</v>
      </c>
      <c r="C11" s="17" t="str">
        <f t="shared" ref="C11:C20" si="3">LEFT(B11,2) &amp; A11 &amp; LEFT(E11,2)</f>
        <v>Re1Ba</v>
      </c>
      <c r="D11" s="17" t="s">
        <v>56</v>
      </c>
      <c r="E11" s="19" t="s">
        <v>47</v>
      </c>
      <c r="F11" s="20">
        <v>4</v>
      </c>
    </row>
    <row r="12" spans="1:12" x14ac:dyDescent="0.3">
      <c r="A12" s="17">
        <v>2</v>
      </c>
      <c r="B12" s="18" t="s">
        <v>72</v>
      </c>
      <c r="C12" s="17" t="str">
        <f t="shared" si="3"/>
        <v>Qu2Wi</v>
      </c>
      <c r="D12" s="17" t="s">
        <v>56</v>
      </c>
      <c r="E12" s="19" t="s">
        <v>48</v>
      </c>
      <c r="F12" s="20">
        <v>39</v>
      </c>
      <c r="I12" t="str">
        <f ca="1">_xlfn.FORMULATEXT(I5)</f>
        <v>=VLOOKUP($H5,$B$2:$F$21,MATCH(I$4,$B$1:$F$1,0),FALSE)</v>
      </c>
    </row>
    <row r="13" spans="1:12" x14ac:dyDescent="0.3">
      <c r="A13" s="17">
        <v>3</v>
      </c>
      <c r="B13" s="18" t="s">
        <v>33</v>
      </c>
      <c r="C13" s="17" t="str">
        <f t="shared" si="3"/>
        <v>Ai3Al</v>
      </c>
      <c r="D13" s="17" t="s">
        <v>56</v>
      </c>
      <c r="E13" s="19" t="s">
        <v>49</v>
      </c>
      <c r="F13" s="20">
        <v>4</v>
      </c>
      <c r="I13" t="s">
        <v>126</v>
      </c>
    </row>
    <row r="14" spans="1:12" x14ac:dyDescent="0.3">
      <c r="A14" s="17">
        <v>4</v>
      </c>
      <c r="B14" s="18" t="s">
        <v>73</v>
      </c>
      <c r="C14" s="17" t="str">
        <f t="shared" si="3"/>
        <v>Tr4Al</v>
      </c>
      <c r="D14" s="17" t="s">
        <v>56</v>
      </c>
      <c r="E14" s="19" t="s">
        <v>49</v>
      </c>
      <c r="F14" s="20">
        <v>31</v>
      </c>
    </row>
    <row r="15" spans="1:12" x14ac:dyDescent="0.3">
      <c r="A15" s="17">
        <v>5</v>
      </c>
      <c r="B15" s="18" t="s">
        <v>74</v>
      </c>
      <c r="C15" s="17" t="str">
        <f t="shared" si="3"/>
        <v>He5Ba</v>
      </c>
      <c r="D15" s="17" t="s">
        <v>56</v>
      </c>
      <c r="E15" s="19" t="s">
        <v>47</v>
      </c>
      <c r="F15" s="20">
        <v>52</v>
      </c>
    </row>
    <row r="16" spans="1:12" x14ac:dyDescent="0.3">
      <c r="A16" s="17">
        <v>6</v>
      </c>
      <c r="B16" s="18" t="s">
        <v>75</v>
      </c>
      <c r="C16" s="17" t="str">
        <f t="shared" si="3"/>
        <v>Da6Ba</v>
      </c>
      <c r="D16" s="17" t="s">
        <v>56</v>
      </c>
      <c r="E16" s="19" t="s">
        <v>47</v>
      </c>
      <c r="F16" s="20">
        <v>21</v>
      </c>
      <c r="H16" s="57" t="s">
        <v>53</v>
      </c>
      <c r="I16" s="58" t="s">
        <v>57</v>
      </c>
      <c r="J16" s="58" t="s">
        <v>54</v>
      </c>
      <c r="K16" s="58" t="s">
        <v>46</v>
      </c>
      <c r="L16" s="58" t="s">
        <v>51</v>
      </c>
    </row>
    <row r="17" spans="1:12" x14ac:dyDescent="0.3">
      <c r="A17" s="17">
        <v>7</v>
      </c>
      <c r="B17" s="18" t="s">
        <v>30</v>
      </c>
      <c r="C17" s="17" t="str">
        <f t="shared" si="3"/>
        <v>Ma7Al</v>
      </c>
      <c r="D17" s="17" t="s">
        <v>56</v>
      </c>
      <c r="E17" s="19" t="s">
        <v>49</v>
      </c>
      <c r="F17" s="20">
        <v>2</v>
      </c>
      <c r="H17" s="59" t="s">
        <v>70</v>
      </c>
      <c r="I17" s="60" t="str">
        <f>VLOOKUP($H17,$B$2:$F$21,MATCH(I$16,$B$1:$F$1,0),FALSE)</f>
        <v>Ra8Al</v>
      </c>
      <c r="J17" s="60" t="str">
        <f>VLOOKUP($H17,$B$2:$F$21,MATCH(J$16,$B$1:$F$1,0),FALSE)</f>
        <v>India</v>
      </c>
      <c r="K17" s="60" t="str">
        <f>VLOOKUP($H17,$B$2:$F$21,MATCH(K$16,$B$1:$F$1,0),FALSE)</f>
        <v>All-Rounder</v>
      </c>
      <c r="L17" s="60">
        <f>VLOOKUP($H17,$B$2:$F$21,MATCH(L$16,$B$1:$F$1,0),FALSE)</f>
        <v>2</v>
      </c>
    </row>
    <row r="18" spans="1:12" x14ac:dyDescent="0.3">
      <c r="A18" s="17">
        <v>8</v>
      </c>
      <c r="B18" s="18" t="s">
        <v>31</v>
      </c>
      <c r="C18" s="17" t="str">
        <f t="shared" si="3"/>
        <v>Ke8Bo</v>
      </c>
      <c r="D18" s="17" t="s">
        <v>56</v>
      </c>
      <c r="E18" s="19" t="s">
        <v>50</v>
      </c>
      <c r="F18" s="20">
        <v>2</v>
      </c>
      <c r="H18" s="59" t="s">
        <v>69</v>
      </c>
      <c r="I18" s="60" t="str">
        <f t="shared" ref="I18:L22" si="4">VLOOKUP($H18,$B$2:$F$21,MATCH(I$16,$B$1:$F$1,0),FALSE)</f>
        <v>Ha7Al</v>
      </c>
      <c r="J18" s="60" t="str">
        <f t="shared" si="4"/>
        <v>India</v>
      </c>
      <c r="K18" s="60" t="str">
        <f t="shared" si="4"/>
        <v>All-Rounder</v>
      </c>
      <c r="L18" s="60">
        <f t="shared" si="4"/>
        <v>5</v>
      </c>
    </row>
    <row r="19" spans="1:12" x14ac:dyDescent="0.3">
      <c r="A19" s="17">
        <v>9</v>
      </c>
      <c r="B19" s="18" t="s">
        <v>32</v>
      </c>
      <c r="C19" s="17" t="str">
        <f t="shared" si="3"/>
        <v>Ka9Bo</v>
      </c>
      <c r="D19" s="17" t="s">
        <v>56</v>
      </c>
      <c r="E19" s="19" t="s">
        <v>50</v>
      </c>
      <c r="F19" s="20">
        <v>4</v>
      </c>
      <c r="H19" s="59" t="s">
        <v>67</v>
      </c>
      <c r="I19" s="60" t="str">
        <f t="shared" si="4"/>
        <v>Ax5Al</v>
      </c>
      <c r="J19" s="60" t="str">
        <f t="shared" si="4"/>
        <v>India</v>
      </c>
      <c r="K19" s="60" t="str">
        <f t="shared" si="4"/>
        <v>All-Rounder</v>
      </c>
      <c r="L19" s="60">
        <f t="shared" si="4"/>
        <v>47</v>
      </c>
    </row>
    <row r="20" spans="1:12" x14ac:dyDescent="0.3">
      <c r="A20" s="17">
        <v>10</v>
      </c>
      <c r="B20" s="18" t="s">
        <v>34</v>
      </c>
      <c r="C20" s="17" t="str">
        <f t="shared" si="3"/>
        <v>An10Bo</v>
      </c>
      <c r="D20" s="17" t="s">
        <v>56</v>
      </c>
      <c r="E20" s="19" t="s">
        <v>50</v>
      </c>
      <c r="F20" s="20">
        <v>1</v>
      </c>
      <c r="H20" s="59" t="s">
        <v>71</v>
      </c>
      <c r="I20" s="60" t="str">
        <f t="shared" si="4"/>
        <v>Re1Ba</v>
      </c>
      <c r="J20" s="60" t="str">
        <f t="shared" si="4"/>
        <v>South Africa</v>
      </c>
      <c r="K20" s="60" t="str">
        <f t="shared" si="4"/>
        <v>Batsman</v>
      </c>
      <c r="L20" s="60">
        <f t="shared" si="4"/>
        <v>4</v>
      </c>
    </row>
    <row r="21" spans="1:12" x14ac:dyDescent="0.3">
      <c r="A21" s="17">
        <v>11</v>
      </c>
      <c r="B21" s="18" t="s">
        <v>58</v>
      </c>
      <c r="C21" s="17"/>
      <c r="D21" s="17"/>
      <c r="E21" s="19"/>
      <c r="F21" s="20">
        <v>9</v>
      </c>
      <c r="H21" s="59" t="s">
        <v>75</v>
      </c>
      <c r="I21" s="60" t="str">
        <f t="shared" si="4"/>
        <v>Da6Ba</v>
      </c>
      <c r="J21" s="60" t="str">
        <f t="shared" si="4"/>
        <v>South Africa</v>
      </c>
      <c r="K21" s="60" t="str">
        <f t="shared" si="4"/>
        <v>Batsman</v>
      </c>
      <c r="L21" s="60">
        <f t="shared" si="4"/>
        <v>21</v>
      </c>
    </row>
    <row r="22" spans="1:12" x14ac:dyDescent="0.3">
      <c r="H22" s="59" t="s">
        <v>93</v>
      </c>
      <c r="I22" s="60" t="e">
        <f t="shared" si="4"/>
        <v>#N/A</v>
      </c>
      <c r="J22" s="60" t="e">
        <f t="shared" si="4"/>
        <v>#N/A</v>
      </c>
      <c r="K22" s="60" t="e">
        <f t="shared" si="4"/>
        <v>#N/A</v>
      </c>
      <c r="L22" s="60" t="e">
        <f t="shared" si="4"/>
        <v>#N/A</v>
      </c>
    </row>
    <row r="23" spans="1:12" x14ac:dyDescent="0.3">
      <c r="B23" s="4"/>
      <c r="C23" s="4"/>
      <c r="D23" s="4"/>
      <c r="E23" s="4"/>
      <c r="F23" s="2"/>
      <c r="G23" s="2"/>
    </row>
    <row r="24" spans="1:12" x14ac:dyDescent="0.3">
      <c r="B24" s="5"/>
      <c r="C24" s="5"/>
      <c r="D24" s="12"/>
      <c r="E24" s="12"/>
      <c r="F24" s="3"/>
      <c r="G24" s="3"/>
    </row>
    <row r="25" spans="1:12" x14ac:dyDescent="0.3">
      <c r="B25" s="5"/>
      <c r="C25" s="5"/>
      <c r="D25" s="12"/>
      <c r="E25" s="12"/>
      <c r="F25" s="3"/>
      <c r="G25" s="3"/>
    </row>
    <row r="26" spans="1:12" x14ac:dyDescent="0.3">
      <c r="B26" s="5"/>
      <c r="C26" s="5"/>
      <c r="D26" s="12"/>
      <c r="E26" s="12"/>
      <c r="F26" s="3"/>
      <c r="G26" s="3"/>
    </row>
    <row r="27" spans="1:12" x14ac:dyDescent="0.3">
      <c r="B27" s="5"/>
      <c r="C27" s="5"/>
      <c r="D27" s="12"/>
      <c r="E27" s="12"/>
      <c r="F27" s="3"/>
      <c r="G27" s="3"/>
    </row>
    <row r="28" spans="1:12" x14ac:dyDescent="0.3">
      <c r="B28" s="5"/>
      <c r="C28" s="5"/>
      <c r="D28" s="12"/>
      <c r="E28" s="12"/>
      <c r="F28" s="3"/>
      <c r="G28" s="3"/>
    </row>
    <row r="29" spans="1:12" x14ac:dyDescent="0.3">
      <c r="B29" s="5"/>
      <c r="C29" s="5"/>
      <c r="D29" s="12"/>
      <c r="E29" s="12"/>
      <c r="F29" s="3"/>
      <c r="G29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539E-E9D7-4308-863C-4FE5ACF99D2B}">
  <dimension ref="A1:N23"/>
  <sheetViews>
    <sheetView tabSelected="1" workbookViewId="0">
      <selection activeCell="L18" sqref="L18"/>
    </sheetView>
  </sheetViews>
  <sheetFormatPr defaultRowHeight="14.4" x14ac:dyDescent="0.3"/>
  <cols>
    <col min="2" max="2" width="16.44140625" bestFit="1" customWidth="1"/>
    <col min="3" max="4" width="16.44140625" customWidth="1"/>
    <col min="5" max="5" width="14.44140625" customWidth="1"/>
    <col min="6" max="6" width="10.77734375" customWidth="1"/>
  </cols>
  <sheetData>
    <row r="1" spans="1:14" x14ac:dyDescent="0.3">
      <c r="A1" s="21" t="s">
        <v>77</v>
      </c>
      <c r="B1" s="21" t="s">
        <v>53</v>
      </c>
      <c r="C1" s="21" t="s">
        <v>57</v>
      </c>
      <c r="D1" s="21" t="s">
        <v>54</v>
      </c>
      <c r="E1" s="21" t="s">
        <v>46</v>
      </c>
      <c r="F1" s="21" t="s">
        <v>51</v>
      </c>
    </row>
    <row r="2" spans="1:14" x14ac:dyDescent="0.3">
      <c r="A2" s="17">
        <v>1</v>
      </c>
      <c r="B2" s="18" t="s">
        <v>64</v>
      </c>
      <c r="C2" s="17" t="str">
        <f>LEFT(B2,2) &amp; A2 &amp; LEFT(E2,2)</f>
        <v>Ro1Ba</v>
      </c>
      <c r="D2" s="17" t="s">
        <v>55</v>
      </c>
      <c r="E2" s="19" t="s">
        <v>47</v>
      </c>
      <c r="F2" s="20">
        <v>9</v>
      </c>
    </row>
    <row r="3" spans="1:14" x14ac:dyDescent="0.3">
      <c r="A3" s="17">
        <v>2</v>
      </c>
      <c r="B3" s="18" t="s">
        <v>63</v>
      </c>
      <c r="C3" s="17" t="str">
        <f t="shared" ref="C3:C9" si="0">LEFT(B3,2) &amp; A3 &amp; LEFT(E3,2)</f>
        <v>Vi2Ba</v>
      </c>
      <c r="D3" s="17" t="s">
        <v>55</v>
      </c>
      <c r="E3" s="19" t="s">
        <v>47</v>
      </c>
      <c r="F3" s="20">
        <v>76</v>
      </c>
      <c r="H3" t="s">
        <v>112</v>
      </c>
    </row>
    <row r="4" spans="1:14" x14ac:dyDescent="0.3">
      <c r="A4" s="17">
        <v>3</v>
      </c>
      <c r="B4" s="18" t="s">
        <v>65</v>
      </c>
      <c r="C4" s="17" t="str">
        <f t="shared" si="0"/>
        <v>Ri3Wi</v>
      </c>
      <c r="D4" s="17" t="s">
        <v>55</v>
      </c>
      <c r="E4" s="19" t="s">
        <v>48</v>
      </c>
      <c r="F4" s="20">
        <v>0</v>
      </c>
      <c r="H4" t="s">
        <v>113</v>
      </c>
    </row>
    <row r="5" spans="1:14" x14ac:dyDescent="0.3">
      <c r="A5" s="17">
        <v>4</v>
      </c>
      <c r="B5" s="18" t="s">
        <v>66</v>
      </c>
      <c r="C5" s="17" t="str">
        <f t="shared" si="0"/>
        <v>Su4Ba</v>
      </c>
      <c r="D5" s="17" t="s">
        <v>55</v>
      </c>
      <c r="E5" s="19" t="s">
        <v>47</v>
      </c>
      <c r="F5" s="20">
        <v>3</v>
      </c>
      <c r="H5" t="s">
        <v>114</v>
      </c>
    </row>
    <row r="6" spans="1:14" x14ac:dyDescent="0.3">
      <c r="A6" s="17">
        <v>5</v>
      </c>
      <c r="B6" s="18" t="s">
        <v>67</v>
      </c>
      <c r="C6" s="17" t="str">
        <f t="shared" si="0"/>
        <v>Ax5Al</v>
      </c>
      <c r="D6" s="17" t="s">
        <v>55</v>
      </c>
      <c r="E6" s="19" t="s">
        <v>49</v>
      </c>
      <c r="F6" s="20">
        <v>47</v>
      </c>
      <c r="H6" t="s">
        <v>115</v>
      </c>
    </row>
    <row r="7" spans="1:14" x14ac:dyDescent="0.3">
      <c r="A7" s="17">
        <v>6</v>
      </c>
      <c r="B7" s="18" t="s">
        <v>68</v>
      </c>
      <c r="C7" s="17" t="str">
        <f t="shared" si="0"/>
        <v>Sh6Al</v>
      </c>
      <c r="D7" s="17" t="s">
        <v>55</v>
      </c>
      <c r="E7" s="19" t="s">
        <v>49</v>
      </c>
      <c r="F7" s="20">
        <v>27</v>
      </c>
    </row>
    <row r="8" spans="1:14" x14ac:dyDescent="0.3">
      <c r="A8" s="17">
        <v>7</v>
      </c>
      <c r="B8" s="18" t="s">
        <v>69</v>
      </c>
      <c r="C8" s="17" t="str">
        <f t="shared" si="0"/>
        <v>Ha7Al</v>
      </c>
      <c r="D8" s="17" t="s">
        <v>55</v>
      </c>
      <c r="E8" s="19" t="s">
        <v>49</v>
      </c>
      <c r="F8" s="20">
        <v>5</v>
      </c>
    </row>
    <row r="9" spans="1:14" x14ac:dyDescent="0.3">
      <c r="A9" s="17">
        <v>8</v>
      </c>
      <c r="B9" s="18" t="s">
        <v>70</v>
      </c>
      <c r="C9" s="17" t="str">
        <f t="shared" si="0"/>
        <v>Ra8Al</v>
      </c>
      <c r="D9" s="17" t="s">
        <v>55</v>
      </c>
      <c r="E9" s="19" t="s">
        <v>49</v>
      </c>
      <c r="F9" s="20">
        <v>2</v>
      </c>
      <c r="L9" t="s">
        <v>116</v>
      </c>
      <c r="M9" t="s">
        <v>117</v>
      </c>
      <c r="N9" t="s">
        <v>118</v>
      </c>
    </row>
    <row r="10" spans="1:14" x14ac:dyDescent="0.3">
      <c r="A10" s="17">
        <v>9</v>
      </c>
      <c r="B10" s="18" t="s">
        <v>58</v>
      </c>
      <c r="C10" s="17"/>
      <c r="D10" s="17"/>
      <c r="E10" s="19"/>
      <c r="F10" s="20">
        <v>7</v>
      </c>
    </row>
    <row r="11" spans="1:14" x14ac:dyDescent="0.3">
      <c r="A11" s="17">
        <v>1</v>
      </c>
      <c r="B11" s="18" t="s">
        <v>71</v>
      </c>
      <c r="C11" s="17" t="str">
        <f t="shared" ref="C11:C20" si="1">LEFT(B11,2) &amp; A11 &amp; LEFT(E11,2)</f>
        <v>Re1Ba</v>
      </c>
      <c r="D11" s="17" t="s">
        <v>56</v>
      </c>
      <c r="E11" s="19" t="s">
        <v>47</v>
      </c>
      <c r="F11" s="20">
        <v>4</v>
      </c>
    </row>
    <row r="12" spans="1:14" x14ac:dyDescent="0.3">
      <c r="A12" s="17">
        <v>2</v>
      </c>
      <c r="B12" s="18" t="s">
        <v>72</v>
      </c>
      <c r="C12" s="17" t="str">
        <f t="shared" si="1"/>
        <v>Qu2Wi</v>
      </c>
      <c r="D12" s="17" t="s">
        <v>56</v>
      </c>
      <c r="E12" s="19" t="s">
        <v>48</v>
      </c>
      <c r="F12" s="20">
        <v>39</v>
      </c>
    </row>
    <row r="13" spans="1:14" x14ac:dyDescent="0.3">
      <c r="A13" s="17">
        <v>3</v>
      </c>
      <c r="B13" s="18" t="s">
        <v>33</v>
      </c>
      <c r="C13" s="17" t="str">
        <f t="shared" si="1"/>
        <v>Ai3Al</v>
      </c>
      <c r="D13" s="17" t="s">
        <v>56</v>
      </c>
      <c r="E13" s="19" t="s">
        <v>49</v>
      </c>
      <c r="F13" s="20">
        <v>4</v>
      </c>
      <c r="J13">
        <f>_xlfn.MAXIFS(F2:F21,D2:D21,D11,E2:E21,E2)</f>
        <v>52</v>
      </c>
      <c r="L13" t="str">
        <f ca="1">_xlfn.FORMULATEXT(J13)</f>
        <v>=MAXIFS(F2:F21,D2:D21,D11,E2:E21,E2)</v>
      </c>
    </row>
    <row r="14" spans="1:14" x14ac:dyDescent="0.3">
      <c r="A14" s="17">
        <v>4</v>
      </c>
      <c r="B14" s="18" t="s">
        <v>73</v>
      </c>
      <c r="C14" s="17" t="str">
        <f t="shared" si="1"/>
        <v>Tr4Al</v>
      </c>
      <c r="D14" s="17" t="s">
        <v>56</v>
      </c>
      <c r="E14" s="19" t="s">
        <v>49</v>
      </c>
      <c r="F14" s="20">
        <v>31</v>
      </c>
    </row>
    <row r="15" spans="1:14" x14ac:dyDescent="0.3">
      <c r="A15" s="17">
        <v>5</v>
      </c>
      <c r="B15" s="18" t="s">
        <v>74</v>
      </c>
      <c r="C15" s="17" t="str">
        <f t="shared" si="1"/>
        <v>He5Ba</v>
      </c>
      <c r="D15" s="17" t="s">
        <v>56</v>
      </c>
      <c r="E15" s="19" t="s">
        <v>47</v>
      </c>
      <c r="F15" s="20">
        <v>52</v>
      </c>
    </row>
    <row r="16" spans="1:14" x14ac:dyDescent="0.3">
      <c r="A16" s="17">
        <v>6</v>
      </c>
      <c r="B16" s="18" t="s">
        <v>75</v>
      </c>
      <c r="C16" s="17" t="str">
        <f t="shared" si="1"/>
        <v>Da6Ba</v>
      </c>
      <c r="D16" s="17" t="s">
        <v>56</v>
      </c>
      <c r="E16" s="19" t="s">
        <v>47</v>
      </c>
      <c r="F16" s="20">
        <v>21</v>
      </c>
      <c r="J16" t="str">
        <f>_xlfn.XLOOKUP(J13,F2:F21,B2:B21)</f>
        <v>Heinrich Klaasen</v>
      </c>
      <c r="L16" t="str">
        <f ca="1">_xlfn.FORMULATEXT(J16)</f>
        <v>=XLOOKUP(J13,F2:F21,B2:B21)</v>
      </c>
    </row>
    <row r="17" spans="1:14" x14ac:dyDescent="0.3">
      <c r="A17" s="17">
        <v>7</v>
      </c>
      <c r="B17" s="18" t="s">
        <v>30</v>
      </c>
      <c r="C17" s="17" t="str">
        <f t="shared" si="1"/>
        <v>Ma7Al</v>
      </c>
      <c r="D17" s="17" t="s">
        <v>56</v>
      </c>
      <c r="E17" s="19" t="s">
        <v>49</v>
      </c>
      <c r="F17" s="20">
        <v>2</v>
      </c>
    </row>
    <row r="18" spans="1:14" x14ac:dyDescent="0.3">
      <c r="A18" s="17">
        <v>8</v>
      </c>
      <c r="B18" s="18" t="s">
        <v>31</v>
      </c>
      <c r="C18" s="17" t="str">
        <f t="shared" si="1"/>
        <v>Ke8Bo</v>
      </c>
      <c r="D18" s="17" t="s">
        <v>56</v>
      </c>
      <c r="E18" s="19" t="s">
        <v>50</v>
      </c>
      <c r="F18" s="20">
        <v>2</v>
      </c>
      <c r="L18">
        <f>_xlfn.MAXIFS(F2:F21,D2:D21,D11,E2:E21,E2)</f>
        <v>52</v>
      </c>
    </row>
    <row r="19" spans="1:14" x14ac:dyDescent="0.3">
      <c r="A19" s="17">
        <v>9</v>
      </c>
      <c r="B19" s="18" t="s">
        <v>32</v>
      </c>
      <c r="C19" s="17" t="str">
        <f t="shared" si="1"/>
        <v>Ka9Bo</v>
      </c>
      <c r="D19" s="17" t="s">
        <v>56</v>
      </c>
      <c r="E19" s="19" t="s">
        <v>50</v>
      </c>
      <c r="F19" s="20">
        <v>4</v>
      </c>
      <c r="L19" t="str">
        <f>_xlfn.XLOOKUP(L18,F2:F21,B2:B21)</f>
        <v>Heinrich Klaasen</v>
      </c>
    </row>
    <row r="20" spans="1:14" x14ac:dyDescent="0.3">
      <c r="A20" s="17">
        <v>10</v>
      </c>
      <c r="B20" s="18" t="s">
        <v>34</v>
      </c>
      <c r="C20" s="17" t="str">
        <f t="shared" si="1"/>
        <v>An10Bo</v>
      </c>
      <c r="D20" s="17" t="s">
        <v>56</v>
      </c>
      <c r="E20" s="19" t="s">
        <v>50</v>
      </c>
      <c r="F20" s="20">
        <v>1</v>
      </c>
    </row>
    <row r="21" spans="1:14" x14ac:dyDescent="0.3">
      <c r="A21" s="17">
        <v>11</v>
      </c>
      <c r="B21" s="18" t="s">
        <v>58</v>
      </c>
      <c r="C21" s="17"/>
      <c r="D21" s="17"/>
      <c r="E21" s="19"/>
      <c r="F21" s="20">
        <v>9</v>
      </c>
    </row>
    <row r="22" spans="1:14" x14ac:dyDescent="0.3">
      <c r="K22">
        <f>_xlfn.MAXIFS(F2:F21,D2:D21,D11,E2:E21,E2)</f>
        <v>52</v>
      </c>
      <c r="N22">
        <f>_xlfn.MAXIFS(F2:F21,D2:D21,D11,E2:E21,E2)</f>
        <v>52</v>
      </c>
    </row>
    <row r="23" spans="1:14" x14ac:dyDescent="0.3">
      <c r="K23" t="str">
        <f>_xlfn.XLOOKUP(J13,F2:F21,B2:B21)</f>
        <v>Heinrich Klaasen</v>
      </c>
      <c r="N23" t="str">
        <f>_xlfn.XLOOKUP(J13,F2:F21,B2:B21)</f>
        <v>Heinrich Klaasen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FA95-0E72-454A-B084-39B462DC8FDD}">
  <sheetPr codeName="Sheet5"/>
  <dimension ref="A1:K28"/>
  <sheetViews>
    <sheetView topLeftCell="A7" zoomScale="115" zoomScaleNormal="115" workbookViewId="0">
      <selection activeCell="D1" sqref="D1:E19"/>
    </sheetView>
  </sheetViews>
  <sheetFormatPr defaultRowHeight="14.4" x14ac:dyDescent="0.3"/>
  <cols>
    <col min="1" max="1" width="16.44140625" bestFit="1" customWidth="1"/>
    <col min="2" max="2" width="14.44140625" style="1" customWidth="1"/>
    <col min="3" max="3" width="9.77734375" customWidth="1"/>
    <col min="4" max="4" width="10" customWidth="1"/>
    <col min="5" max="5" width="11.77734375" customWidth="1"/>
  </cols>
  <sheetData>
    <row r="1" spans="1:5" s="10" customFormat="1" ht="13.8" x14ac:dyDescent="0.3">
      <c r="A1" s="6" t="s">
        <v>53</v>
      </c>
      <c r="B1" s="6" t="s">
        <v>46</v>
      </c>
      <c r="C1" s="6" t="s">
        <v>51</v>
      </c>
      <c r="D1" s="6" t="s">
        <v>52</v>
      </c>
      <c r="E1" s="6" t="s">
        <v>15</v>
      </c>
    </row>
    <row r="2" spans="1:5" x14ac:dyDescent="0.3">
      <c r="A2" s="13" t="s">
        <v>16</v>
      </c>
      <c r="B2" s="11" t="s">
        <v>47</v>
      </c>
      <c r="C2" s="7">
        <v>9</v>
      </c>
      <c r="D2" s="8">
        <v>5</v>
      </c>
      <c r="E2" s="9">
        <v>180</v>
      </c>
    </row>
    <row r="3" spans="1:5" x14ac:dyDescent="0.3">
      <c r="A3" s="13" t="s">
        <v>17</v>
      </c>
      <c r="B3" s="11" t="s">
        <v>47</v>
      </c>
      <c r="C3" s="7">
        <v>76</v>
      </c>
      <c r="D3" s="8">
        <v>59</v>
      </c>
      <c r="E3" s="9">
        <v>128.81</v>
      </c>
    </row>
    <row r="4" spans="1:5" x14ac:dyDescent="0.3">
      <c r="A4" s="13" t="s">
        <v>18</v>
      </c>
      <c r="B4" s="11" t="s">
        <v>48</v>
      </c>
      <c r="C4" s="7">
        <v>0</v>
      </c>
      <c r="D4" s="8">
        <v>2</v>
      </c>
      <c r="E4" s="9">
        <v>0</v>
      </c>
    </row>
    <row r="5" spans="1:5" x14ac:dyDescent="0.3">
      <c r="A5" s="13" t="s">
        <v>19</v>
      </c>
      <c r="B5" s="11" t="s">
        <v>47</v>
      </c>
      <c r="C5" s="7">
        <v>3</v>
      </c>
      <c r="D5" s="8">
        <v>4</v>
      </c>
      <c r="E5" s="9">
        <v>75</v>
      </c>
    </row>
    <row r="6" spans="1:5" x14ac:dyDescent="0.3">
      <c r="A6" s="13" t="s">
        <v>20</v>
      </c>
      <c r="B6" s="11" t="s">
        <v>49</v>
      </c>
      <c r="C6" s="7">
        <v>47</v>
      </c>
      <c r="D6" s="8">
        <v>31</v>
      </c>
      <c r="E6" s="9">
        <v>151.61000000000001</v>
      </c>
    </row>
    <row r="7" spans="1:5" x14ac:dyDescent="0.3">
      <c r="A7" s="13" t="s">
        <v>21</v>
      </c>
      <c r="B7" s="11" t="s">
        <v>49</v>
      </c>
      <c r="C7" s="7">
        <v>27</v>
      </c>
      <c r="D7" s="8">
        <v>16</v>
      </c>
      <c r="E7" s="9">
        <v>168.75</v>
      </c>
    </row>
    <row r="8" spans="1:5" x14ac:dyDescent="0.3">
      <c r="A8" s="13" t="s">
        <v>22</v>
      </c>
      <c r="B8" s="11" t="s">
        <v>49</v>
      </c>
      <c r="C8" s="7">
        <v>5</v>
      </c>
      <c r="D8" s="8">
        <v>2</v>
      </c>
      <c r="E8" s="9">
        <v>250</v>
      </c>
    </row>
    <row r="9" spans="1:5" x14ac:dyDescent="0.3">
      <c r="A9" s="13" t="s">
        <v>23</v>
      </c>
      <c r="B9" s="11" t="s">
        <v>49</v>
      </c>
      <c r="C9" s="7">
        <v>2</v>
      </c>
      <c r="D9" s="8">
        <v>2</v>
      </c>
      <c r="E9" s="9">
        <v>100</v>
      </c>
    </row>
    <row r="10" spans="1:5" x14ac:dyDescent="0.3">
      <c r="A10" s="13" t="s">
        <v>36</v>
      </c>
      <c r="B10" s="11" t="s">
        <v>47</v>
      </c>
      <c r="C10" s="7">
        <v>4</v>
      </c>
      <c r="D10" s="8">
        <v>5</v>
      </c>
      <c r="E10" s="9">
        <v>80</v>
      </c>
    </row>
    <row r="11" spans="1:5" x14ac:dyDescent="0.3">
      <c r="A11" s="13" t="s">
        <v>37</v>
      </c>
      <c r="B11" s="11" t="s">
        <v>48</v>
      </c>
      <c r="C11" s="7">
        <v>39</v>
      </c>
      <c r="D11" s="8">
        <v>31</v>
      </c>
      <c r="E11" s="9">
        <v>125.8</v>
      </c>
    </row>
    <row r="12" spans="1:5" x14ac:dyDescent="0.3">
      <c r="A12" s="13" t="s">
        <v>38</v>
      </c>
      <c r="B12" s="11" t="s">
        <v>49</v>
      </c>
      <c r="C12" s="7">
        <v>4</v>
      </c>
      <c r="D12" s="8">
        <v>5</v>
      </c>
      <c r="E12" s="9">
        <v>80</v>
      </c>
    </row>
    <row r="13" spans="1:5" x14ac:dyDescent="0.3">
      <c r="A13" s="13" t="s">
        <v>39</v>
      </c>
      <c r="B13" s="11" t="s">
        <v>49</v>
      </c>
      <c r="C13" s="7">
        <v>31</v>
      </c>
      <c r="D13" s="8">
        <v>21</v>
      </c>
      <c r="E13" s="9">
        <v>147.61000000000001</v>
      </c>
    </row>
    <row r="14" spans="1:5" x14ac:dyDescent="0.3">
      <c r="A14" s="13" t="s">
        <v>40</v>
      </c>
      <c r="B14" s="11" t="s">
        <v>47</v>
      </c>
      <c r="C14" s="7">
        <v>52</v>
      </c>
      <c r="D14" s="8">
        <v>27</v>
      </c>
      <c r="E14" s="9">
        <v>192.59</v>
      </c>
    </row>
    <row r="15" spans="1:5" x14ac:dyDescent="0.3">
      <c r="A15" s="13" t="s">
        <v>41</v>
      </c>
      <c r="B15" s="11" t="s">
        <v>47</v>
      </c>
      <c r="C15" s="7">
        <v>21</v>
      </c>
      <c r="D15" s="8">
        <v>17</v>
      </c>
      <c r="E15" s="9">
        <v>123.52</v>
      </c>
    </row>
    <row r="16" spans="1:5" x14ac:dyDescent="0.3">
      <c r="A16" s="13" t="s">
        <v>42</v>
      </c>
      <c r="B16" s="11" t="s">
        <v>49</v>
      </c>
      <c r="C16" s="7">
        <v>2</v>
      </c>
      <c r="D16" s="8">
        <v>4</v>
      </c>
      <c r="E16" s="9">
        <v>50</v>
      </c>
    </row>
    <row r="17" spans="1:11" x14ac:dyDescent="0.3">
      <c r="A17" s="13" t="s">
        <v>43</v>
      </c>
      <c r="B17" s="11" t="s">
        <v>50</v>
      </c>
      <c r="C17" s="7">
        <v>2</v>
      </c>
      <c r="D17" s="8">
        <v>7</v>
      </c>
      <c r="E17" s="9">
        <v>28.57</v>
      </c>
    </row>
    <row r="18" spans="1:11" x14ac:dyDescent="0.3">
      <c r="A18" s="13" t="s">
        <v>44</v>
      </c>
      <c r="B18" s="11" t="s">
        <v>50</v>
      </c>
      <c r="C18" s="7">
        <v>4</v>
      </c>
      <c r="D18" s="8">
        <v>3</v>
      </c>
      <c r="E18" s="9">
        <v>133.33000000000001</v>
      </c>
    </row>
    <row r="19" spans="1:11" x14ac:dyDescent="0.3">
      <c r="A19" s="13" t="s">
        <v>45</v>
      </c>
      <c r="B19" s="11" t="s">
        <v>50</v>
      </c>
      <c r="C19" s="7">
        <v>1</v>
      </c>
      <c r="D19" s="8">
        <v>1</v>
      </c>
      <c r="E19" s="9">
        <v>100</v>
      </c>
    </row>
    <row r="22" spans="1:11" x14ac:dyDescent="0.3">
      <c r="A22" s="4" t="s">
        <v>24</v>
      </c>
      <c r="B22" s="4"/>
      <c r="C22" s="2" t="s">
        <v>12</v>
      </c>
      <c r="D22" s="2" t="s">
        <v>11</v>
      </c>
      <c r="E22" s="2" t="s">
        <v>25</v>
      </c>
      <c r="F22" s="2" t="s">
        <v>26</v>
      </c>
      <c r="G22" s="2" t="s">
        <v>27</v>
      </c>
      <c r="H22" s="2" t="s">
        <v>13</v>
      </c>
      <c r="I22" s="2" t="s">
        <v>14</v>
      </c>
      <c r="J22" s="2" t="s">
        <v>28</v>
      </c>
      <c r="K22" s="2" t="s">
        <v>29</v>
      </c>
    </row>
    <row r="23" spans="1:11" x14ac:dyDescent="0.3">
      <c r="A23" s="5" t="s">
        <v>30</v>
      </c>
      <c r="B23" s="12"/>
      <c r="C23" s="3">
        <v>0</v>
      </c>
      <c r="D23" s="3">
        <v>49</v>
      </c>
      <c r="E23" s="2">
        <v>1</v>
      </c>
      <c r="F23" s="3">
        <v>12.25</v>
      </c>
      <c r="G23" s="3">
        <v>4</v>
      </c>
      <c r="H23" s="3">
        <v>5</v>
      </c>
      <c r="I23" s="3">
        <v>2</v>
      </c>
      <c r="J23" s="3">
        <v>1</v>
      </c>
      <c r="K23" s="3">
        <v>1</v>
      </c>
    </row>
    <row r="24" spans="1:11" x14ac:dyDescent="0.3">
      <c r="A24" s="5" t="s">
        <v>31</v>
      </c>
      <c r="B24" s="12"/>
      <c r="C24" s="3">
        <v>0</v>
      </c>
      <c r="D24" s="3">
        <v>23</v>
      </c>
      <c r="E24" s="2">
        <v>2</v>
      </c>
      <c r="F24" s="3">
        <v>7.66</v>
      </c>
      <c r="G24" s="3">
        <v>10</v>
      </c>
      <c r="H24" s="3">
        <v>3</v>
      </c>
      <c r="I24" s="3">
        <v>1</v>
      </c>
      <c r="J24" s="3">
        <v>0</v>
      </c>
      <c r="K24" s="3">
        <v>0</v>
      </c>
    </row>
    <row r="25" spans="1:11" x14ac:dyDescent="0.3">
      <c r="A25" s="5" t="s">
        <v>32</v>
      </c>
      <c r="B25" s="12"/>
      <c r="C25" s="3">
        <v>0</v>
      </c>
      <c r="D25" s="3">
        <v>36</v>
      </c>
      <c r="E25" s="2">
        <v>1</v>
      </c>
      <c r="F25" s="3">
        <v>9</v>
      </c>
      <c r="G25" s="3">
        <v>8</v>
      </c>
      <c r="H25" s="3">
        <v>2</v>
      </c>
      <c r="I25" s="3">
        <v>2</v>
      </c>
      <c r="J25" s="3">
        <v>2</v>
      </c>
      <c r="K25" s="3">
        <v>0</v>
      </c>
    </row>
    <row r="26" spans="1:11" x14ac:dyDescent="0.3">
      <c r="A26" s="5" t="s">
        <v>33</v>
      </c>
      <c r="B26" s="12"/>
      <c r="C26" s="3">
        <v>0</v>
      </c>
      <c r="D26" s="3">
        <v>16</v>
      </c>
      <c r="E26" s="2">
        <v>0</v>
      </c>
      <c r="F26" s="3">
        <v>8</v>
      </c>
      <c r="G26" s="3">
        <v>1</v>
      </c>
      <c r="H26" s="3">
        <v>0</v>
      </c>
      <c r="I26" s="3">
        <v>1</v>
      </c>
      <c r="J26" s="3">
        <v>0</v>
      </c>
      <c r="K26" s="3">
        <v>0</v>
      </c>
    </row>
    <row r="27" spans="1:11" x14ac:dyDescent="0.3">
      <c r="A27" s="5" t="s">
        <v>34</v>
      </c>
      <c r="B27" s="12"/>
      <c r="C27" s="3">
        <v>0</v>
      </c>
      <c r="D27" s="3">
        <v>26</v>
      </c>
      <c r="E27" s="2">
        <v>2</v>
      </c>
      <c r="F27" s="3">
        <v>6.5</v>
      </c>
      <c r="G27" s="3">
        <v>7</v>
      </c>
      <c r="H27" s="3">
        <v>2</v>
      </c>
      <c r="I27" s="3">
        <v>0</v>
      </c>
      <c r="J27" s="3">
        <v>2</v>
      </c>
      <c r="K27" s="3">
        <v>0</v>
      </c>
    </row>
    <row r="28" spans="1:11" x14ac:dyDescent="0.3">
      <c r="A28" s="5" t="s">
        <v>35</v>
      </c>
      <c r="B28" s="12"/>
      <c r="C28" s="3">
        <v>0</v>
      </c>
      <c r="D28" s="3">
        <v>26</v>
      </c>
      <c r="E28" s="2">
        <v>0</v>
      </c>
      <c r="F28" s="3">
        <v>8.66</v>
      </c>
      <c r="G28" s="3">
        <v>4</v>
      </c>
      <c r="H28" s="3">
        <v>1</v>
      </c>
      <c r="I28" s="3">
        <v>1</v>
      </c>
      <c r="J28" s="3">
        <v>1</v>
      </c>
      <c r="K28" s="3">
        <v>0</v>
      </c>
    </row>
  </sheetData>
  <hyperlinks>
    <hyperlink ref="A23" r:id="rId1" tooltip="View full profile of Marco Jansen" display="https://www.espncricinfo.com/cricketers/marco-jansen-696401" xr:uid="{8C2F9932-15E7-4195-8C07-B4B3E1569643}"/>
    <hyperlink ref="A24" r:id="rId2" tooltip="View full profile of Keshav Maharaj" display="https://www.espncricinfo.com/cricketers/keshav-maharaj-267724" xr:uid="{1CF4F962-2488-4DEB-9A74-C3BEDAB96FBD}"/>
    <hyperlink ref="A25" r:id="rId3" tooltip="View full profile of Kagiso Rabada" display="https://www.espncricinfo.com/cricketers/kagiso-rabada-550215" xr:uid="{F8FA5AF3-AEE5-4862-8217-00028BC9B8F8}"/>
    <hyperlink ref="A26" r:id="rId4" tooltip="View full profile of Aiden Markram" display="https://www.espncricinfo.com/cricketers/aiden-markram-600498" xr:uid="{27F1D70E-48D4-48B8-8C9E-1C5C93DE8C1D}"/>
    <hyperlink ref="A27" r:id="rId5" tooltip="View full profile of Anrich Nortje" display="https://www.espncricinfo.com/cricketers/anrich-nortje-481979" xr:uid="{FAE7D723-A8B7-40CD-A7EF-4C808DD1A7B9}"/>
    <hyperlink ref="A28" r:id="rId6" tooltip="View full profile of Tabraiz Shamsi" display="https://www.espncricinfo.com/cricketers/tabraiz-shamsi-379145" xr:uid="{44B4FD41-D7B7-4D4A-886B-AE2D25675501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Lookup Functions</vt:lpstr>
      <vt:lpstr>VLookup</vt:lpstr>
      <vt:lpstr>HLookup</vt:lpstr>
      <vt:lpstr>Index-Match</vt:lpstr>
      <vt:lpstr>XLookup</vt:lpstr>
      <vt:lpstr>Vlookup+Match</vt:lpstr>
      <vt:lpstr>Nested Arith + Lookup</vt:lpstr>
      <vt:lpstr>Source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jp9081009536@outlook.com</dc:creator>
  <cp:lastModifiedBy>Sagar Gowda</cp:lastModifiedBy>
  <dcterms:created xsi:type="dcterms:W3CDTF">2024-07-31T09:22:34Z</dcterms:created>
  <dcterms:modified xsi:type="dcterms:W3CDTF">2026-10-05T11:10:39Z</dcterms:modified>
</cp:coreProperties>
</file>